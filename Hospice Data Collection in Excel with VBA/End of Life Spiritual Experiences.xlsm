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Data projects\DataAnalyticsProjects\Hospice Data Collection in Excel with VBA\"/>
    </mc:Choice>
  </mc:AlternateContent>
  <xr:revisionPtr revIDLastSave="0" documentId="8_{543FA989-33F9-4B09-BE08-AA8DD675BE02}" xr6:coauthVersionLast="47" xr6:coauthVersionMax="47" xr10:uidLastSave="{00000000-0000-0000-0000-000000000000}"/>
  <bookViews>
    <workbookView xWindow="-120" yWindow="-120" windowWidth="29040" windowHeight="15720" xr2:uid="{682C5D0B-C805-4137-A1E7-6884AB674A2F}"/>
  </bookViews>
  <sheets>
    <sheet name="Report" sheetId="7" r:id="rId1"/>
    <sheet name="Options" sheetId="2" r:id="rId2"/>
    <sheet name="Data" sheetId="4" r:id="rId3"/>
    <sheet name="Changelog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7" l="1"/>
  <c r="P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Q36" i="7" s="1"/>
  <c r="P37" i="7"/>
  <c r="Q37" i="7" s="1"/>
  <c r="P38" i="7"/>
  <c r="Q38" i="7" s="1"/>
  <c r="P41" i="7" a="1"/>
  <c r="P41" i="7" s="1"/>
  <c r="P42" i="7" a="1"/>
  <c r="P42" i="7" s="1"/>
  <c r="P43" i="7" a="1"/>
  <c r="P43" i="7" s="1"/>
  <c r="P44" i="7"/>
  <c r="P45" i="7"/>
  <c r="P46" i="7"/>
  <c r="P47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Q97" i="7" s="1"/>
  <c r="P98" i="7"/>
  <c r="Q98" i="7" s="1"/>
  <c r="P99" i="7"/>
  <c r="Q99" i="7" s="1"/>
  <c r="P102" i="7" a="1"/>
  <c r="P102" i="7" s="1"/>
  <c r="P103" i="7" a="1"/>
  <c r="P103" i="7" s="1"/>
  <c r="P104" i="7" a="1"/>
  <c r="P104" i="7" s="1"/>
  <c r="P105" i="7"/>
  <c r="P106" i="7"/>
  <c r="P107" i="7"/>
  <c r="P108" i="7"/>
  <c r="P110" i="7"/>
  <c r="E188" i="7"/>
  <c r="P109" i="7" s="1"/>
  <c r="L14" i="2"/>
  <c r="L10" i="2"/>
  <c r="L4" i="2" a="1"/>
  <c r="L4" i="2" s="1"/>
  <c r="L116" i="2"/>
  <c r="L110" i="2"/>
  <c r="L108" i="2"/>
  <c r="L107" i="2"/>
  <c r="L105" i="2"/>
  <c r="L98" i="2"/>
  <c r="L99" i="2"/>
  <c r="L100" i="2"/>
  <c r="L101" i="2"/>
  <c r="L97" i="2"/>
  <c r="L93" i="2"/>
  <c r="L91" i="2"/>
  <c r="L89" i="2"/>
  <c r="L87" i="2"/>
  <c r="L85" i="2"/>
  <c r="L83" i="2"/>
  <c r="L77" i="2"/>
  <c r="L74" i="2"/>
  <c r="L58" i="2"/>
  <c r="L57" i="2"/>
  <c r="L55" i="2"/>
  <c r="M55" i="2" s="1"/>
  <c r="L53" i="2"/>
  <c r="M53" i="2" s="1"/>
  <c r="L48" i="2"/>
  <c r="L47" i="2"/>
  <c r="L51" i="2"/>
  <c r="M51" i="2" s="1"/>
  <c r="L18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20" i="2"/>
  <c r="E81" i="7"/>
  <c r="P48" i="7" s="1"/>
  <c r="E170" i="7" l="1"/>
  <c r="P100" i="7" s="1"/>
  <c r="E64" i="7"/>
  <c r="P39" i="7" s="1"/>
  <c r="F170" i="7" l="1"/>
  <c r="P101" i="7" s="1"/>
  <c r="F64" i="7"/>
  <c r="P40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<sst xmlns="http://schemas.openxmlformats.org/spreadsheetml/2006/main" count="708" uniqueCount="257">
  <si>
    <t>Male</t>
  </si>
  <si>
    <t>Female</t>
  </si>
  <si>
    <t>Hispanic or Latino</t>
  </si>
  <si>
    <t>American Indian or Alaska Native</t>
  </si>
  <si>
    <t>Asian</t>
  </si>
  <si>
    <t>Black or African American</t>
  </si>
  <si>
    <t>Native Hawaiian or Other Pacific Islander</t>
  </si>
  <si>
    <t>White</t>
  </si>
  <si>
    <t>Other</t>
  </si>
  <si>
    <t>Unknown</t>
  </si>
  <si>
    <t>Religious Affiliation</t>
  </si>
  <si>
    <t>Christian - Evangelical Protestant</t>
  </si>
  <si>
    <t>Christian - Mainline Protestant</t>
  </si>
  <si>
    <t>Christian - Historically Black Protestant</t>
  </si>
  <si>
    <t>Christian - Catholic</t>
  </si>
  <si>
    <t>Christian - Mormon</t>
  </si>
  <si>
    <t>Christian - Orthodox</t>
  </si>
  <si>
    <t>Christian - Jehovah's Witness</t>
  </si>
  <si>
    <t>Christian - Other</t>
  </si>
  <si>
    <t>Jewish</t>
  </si>
  <si>
    <t>Muslim</t>
  </si>
  <si>
    <t>Buddhist</t>
  </si>
  <si>
    <t>Hindu</t>
  </si>
  <si>
    <t>Atheist</t>
  </si>
  <si>
    <t>Agnostic</t>
  </si>
  <si>
    <t>Don't Know</t>
  </si>
  <si>
    <t>Sex</t>
  </si>
  <si>
    <t>Ethnicity</t>
  </si>
  <si>
    <t>Diagnoses - manual entry</t>
  </si>
  <si>
    <t>Mobiility</t>
  </si>
  <si>
    <t>Independent, full function</t>
  </si>
  <si>
    <t>Walking Aid</t>
  </si>
  <si>
    <t>Assist X1</t>
  </si>
  <si>
    <t>Assist X2</t>
  </si>
  <si>
    <t>Bed to Chair</t>
  </si>
  <si>
    <t>Bedbound</t>
  </si>
  <si>
    <t>Notable Lab Values - manual entry or connected to database</t>
  </si>
  <si>
    <t>Motor Ability</t>
  </si>
  <si>
    <t>MRI</t>
  </si>
  <si>
    <t>CT</t>
  </si>
  <si>
    <t>EEG</t>
  </si>
  <si>
    <t>PET</t>
  </si>
  <si>
    <t>Eye Opening</t>
  </si>
  <si>
    <t>Symptoms</t>
  </si>
  <si>
    <t>Hallucinations</t>
  </si>
  <si>
    <t>Pain</t>
  </si>
  <si>
    <t>Nausea</t>
  </si>
  <si>
    <t>Vommiting</t>
  </si>
  <si>
    <t>0-10 score</t>
  </si>
  <si>
    <t>Diarhea</t>
  </si>
  <si>
    <t>Constipation</t>
  </si>
  <si>
    <t>Drowsiness</t>
  </si>
  <si>
    <t>chest</t>
  </si>
  <si>
    <t>generalized</t>
  </si>
  <si>
    <t>localized</t>
  </si>
  <si>
    <t>Work of Breathing</t>
  </si>
  <si>
    <t>Coughing</t>
  </si>
  <si>
    <t>Wheezing</t>
  </si>
  <si>
    <t>Increased Secretions</t>
  </si>
  <si>
    <t>Airway Clearance Difficulty</t>
  </si>
  <si>
    <t>Incontinence of Urine</t>
  </si>
  <si>
    <t>Incontinence of Bowels</t>
  </si>
  <si>
    <t>Urinary Retention</t>
  </si>
  <si>
    <t>Spontaneous</t>
  </si>
  <si>
    <t>To Sound</t>
  </si>
  <si>
    <t>To Pressure</t>
  </si>
  <si>
    <t>None</t>
  </si>
  <si>
    <t>Verbal Response</t>
  </si>
  <si>
    <t>Oriented</t>
  </si>
  <si>
    <t>Confused</t>
  </si>
  <si>
    <t>Sounds</t>
  </si>
  <si>
    <t>Motor Response</t>
  </si>
  <si>
    <t>Obey Commands</t>
  </si>
  <si>
    <t>Move to Localised pain</t>
  </si>
  <si>
    <t>Flex to Withdraw from Pain</t>
  </si>
  <si>
    <t>Abnormal Flexion</t>
  </si>
  <si>
    <t>Abnormal Extension</t>
  </si>
  <si>
    <t>Words</t>
  </si>
  <si>
    <t>Image Study Type</t>
  </si>
  <si>
    <t>Mild</t>
  </si>
  <si>
    <t>Moderate</t>
  </si>
  <si>
    <t>Severe</t>
  </si>
  <si>
    <t>Memory</t>
  </si>
  <si>
    <t>Long Term</t>
  </si>
  <si>
    <t>Remembers past personal/historical events accurately</t>
  </si>
  <si>
    <t>Remembers past personal/historical events with some mistakes</t>
  </si>
  <si>
    <t>Confused, some accuracy</t>
  </si>
  <si>
    <t>Confused, no accuracy</t>
  </si>
  <si>
    <t>Short Term</t>
  </si>
  <si>
    <t>Remembers recent events accurately</t>
  </si>
  <si>
    <t>Remembers recent events with some mistakes</t>
  </si>
  <si>
    <t>Recall Speed</t>
  </si>
  <si>
    <t>Immediate</t>
  </si>
  <si>
    <t>Delayed</t>
  </si>
  <si>
    <t>Orientation</t>
  </si>
  <si>
    <t>Person</t>
  </si>
  <si>
    <t>Place</t>
  </si>
  <si>
    <t>Time</t>
  </si>
  <si>
    <t>Event</t>
  </si>
  <si>
    <t>Perception</t>
  </si>
  <si>
    <t>Object</t>
  </si>
  <si>
    <t>Parent</t>
  </si>
  <si>
    <t>Sibling</t>
  </si>
  <si>
    <t>Friend</t>
  </si>
  <si>
    <t>Child</t>
  </si>
  <si>
    <t>Living</t>
  </si>
  <si>
    <t>Deceased</t>
  </si>
  <si>
    <t>Touching</t>
  </si>
  <si>
    <t>Standing in same room close by</t>
  </si>
  <si>
    <t>Standing in same room far away</t>
  </si>
  <si>
    <t>Other room</t>
  </si>
  <si>
    <t>Close/Touching</t>
  </si>
  <si>
    <t>Subject</t>
  </si>
  <si>
    <t>Living or Deceased</t>
  </si>
  <si>
    <t>Relationship</t>
  </si>
  <si>
    <t>Location</t>
  </si>
  <si>
    <t>Standing/Sitting Still</t>
  </si>
  <si>
    <t>Motioning</t>
  </si>
  <si>
    <t>Speaking</t>
  </si>
  <si>
    <t>Spiritual Experience</t>
  </si>
  <si>
    <t>Yes</t>
  </si>
  <si>
    <t>No</t>
  </si>
  <si>
    <t>Positive - loving, kind, pleasant</t>
  </si>
  <si>
    <t>Negative - upset, angry, sad, unpleasant</t>
  </si>
  <si>
    <t>Neutral</t>
  </si>
  <si>
    <t>Level of Interaction</t>
  </si>
  <si>
    <t>To stimuli</t>
  </si>
  <si>
    <t>Clear</t>
  </si>
  <si>
    <t>Unclear</t>
  </si>
  <si>
    <t>Disoriented</t>
  </si>
  <si>
    <t>Eye contact</t>
  </si>
  <si>
    <t>Duration</t>
  </si>
  <si>
    <t>Total Stranger</t>
  </si>
  <si>
    <t>Acquantence</t>
  </si>
  <si>
    <t>Action</t>
  </si>
  <si>
    <t>Feeling of readiness to let go</t>
  </si>
  <si>
    <t>Report Number</t>
  </si>
  <si>
    <t>Age</t>
  </si>
  <si>
    <t>Perceived Subject</t>
  </si>
  <si>
    <t>Feeling of oneness, correctedness</t>
  </si>
  <si>
    <t>Feeling of forgiveness, peace, life satisfaction</t>
  </si>
  <si>
    <t>Feeling the precense/connectedness with a higher being</t>
  </si>
  <si>
    <t>Religion-specific figures/experiences</t>
  </si>
  <si>
    <t>Days Before Death</t>
  </si>
  <si>
    <t>Length of Episode Days</t>
  </si>
  <si>
    <t>Length of Episode Hours</t>
  </si>
  <si>
    <t/>
  </si>
  <si>
    <t>Episode Narrative</t>
  </si>
  <si>
    <t>Other Notes</t>
  </si>
  <si>
    <t>Report Date</t>
  </si>
  <si>
    <t xml:space="preserve"> </t>
  </si>
  <si>
    <t>Object Description</t>
  </si>
  <si>
    <t>Submitter</t>
  </si>
  <si>
    <t>Heidi Placella</t>
  </si>
  <si>
    <t>Andrew Re</t>
  </si>
  <si>
    <t>Sound</t>
  </si>
  <si>
    <t>Other Sensation</t>
  </si>
  <si>
    <t>Patient Response</t>
  </si>
  <si>
    <t>Pain - Generalized pre_exp</t>
  </si>
  <si>
    <t>Pain - Localized pre_exp</t>
  </si>
  <si>
    <t>Incontinence of Urine pre_exp</t>
  </si>
  <si>
    <t>Incontinence of Bowels pre_exp</t>
  </si>
  <si>
    <t>Urinary Retention pre_exp</t>
  </si>
  <si>
    <t>Nausia pre_exp</t>
  </si>
  <si>
    <t>Vomiting pre_exp</t>
  </si>
  <si>
    <t>Diarrhea pre_exp</t>
  </si>
  <si>
    <t>Constipation pre_exp</t>
  </si>
  <si>
    <t>Shortness of Breath pre_exp</t>
  </si>
  <si>
    <t>Airway Clearance pre_exp</t>
  </si>
  <si>
    <t>Confusion pre_exp</t>
  </si>
  <si>
    <t>Drowsiness pre_exp</t>
  </si>
  <si>
    <t>Cough pre_exp</t>
  </si>
  <si>
    <t>Wheezing pre_exp</t>
  </si>
  <si>
    <t>Palpitations pre_exp</t>
  </si>
  <si>
    <t>Tachycardia pre_exp</t>
  </si>
  <si>
    <t>Bradycardis pre_exp</t>
  </si>
  <si>
    <t>Hypertension pre_exp</t>
  </si>
  <si>
    <t>Hypotension pre_exp</t>
  </si>
  <si>
    <t>Cognitive Impairment (severe) pre_exp</t>
  </si>
  <si>
    <t>Cognitive Impairment (mild) pre_exp</t>
  </si>
  <si>
    <t>Weakness pre_exp</t>
  </si>
  <si>
    <t>Fever pre_exp</t>
  </si>
  <si>
    <t>Anorexia pre_exp</t>
  </si>
  <si>
    <t>Adipsia pre_exp</t>
  </si>
  <si>
    <t>Agitation/Restlessness pre_exp</t>
  </si>
  <si>
    <t>Pain - Generalized post_exp</t>
  </si>
  <si>
    <t>Pain - Localized post_exp</t>
  </si>
  <si>
    <t>Incontinence of Urine post_exp</t>
  </si>
  <si>
    <t>Incontinence of Bowels post_exp</t>
  </si>
  <si>
    <t>Urinary Retention post_exp</t>
  </si>
  <si>
    <t>Nausia post_exp</t>
  </si>
  <si>
    <t>Vomiting post_exp</t>
  </si>
  <si>
    <t>Diarrhea post_exp</t>
  </si>
  <si>
    <t>Constipation post_exp</t>
  </si>
  <si>
    <t>Shortness of Breath post_exp</t>
  </si>
  <si>
    <t>Airway Clearance post_exp</t>
  </si>
  <si>
    <t>Confusion post_exp</t>
  </si>
  <si>
    <t>Drowsiness post_exp</t>
  </si>
  <si>
    <t>Cough post_exp</t>
  </si>
  <si>
    <t>Wheezing post_exp</t>
  </si>
  <si>
    <t>Palpitations post_exp</t>
  </si>
  <si>
    <t>Tachycardia post_exp</t>
  </si>
  <si>
    <t>Bradycardis post_exp</t>
  </si>
  <si>
    <t>Hypertension post_exp</t>
  </si>
  <si>
    <t>Hypotension post_exp</t>
  </si>
  <si>
    <t>Cognitive Impairment (severe) post_exp</t>
  </si>
  <si>
    <t>Cognitive Impairment (mild) post_exp</t>
  </si>
  <si>
    <t>Weakness post_exp</t>
  </si>
  <si>
    <t>Fever post_exp</t>
  </si>
  <si>
    <t>Anorexia post_exp</t>
  </si>
  <si>
    <t>Adipsia post_exp</t>
  </si>
  <si>
    <t>Agitation/Restlessness post_exp</t>
  </si>
  <si>
    <t>Mobility pre_exp</t>
  </si>
  <si>
    <t>Notable Lab Results pre_exp</t>
  </si>
  <si>
    <t>Diagnoses pre_exp</t>
  </si>
  <si>
    <t>Eye Opening pre_exp</t>
  </si>
  <si>
    <t>Verbal Response pre_exp</t>
  </si>
  <si>
    <t>Motor Response pre_exp</t>
  </si>
  <si>
    <t>Glasgow Coma Score pre_exp</t>
  </si>
  <si>
    <t>Glasgow Severity pre_exp</t>
  </si>
  <si>
    <t>Long Term Memory pre_exp</t>
  </si>
  <si>
    <t>Short Term Memory pre_exp</t>
  </si>
  <si>
    <t>Recall Speed pre_exp</t>
  </si>
  <si>
    <t>Orientation - Person pre_exp</t>
  </si>
  <si>
    <t>Orientation - Place pre_exp</t>
  </si>
  <si>
    <t>Orientation - Time pre_exp</t>
  </si>
  <si>
    <t>Orientation - Event pre_exp</t>
  </si>
  <si>
    <t>Orientation Score pre_exp</t>
  </si>
  <si>
    <t>Mobility post_exp</t>
  </si>
  <si>
    <t>Notable Lab Results post_exp</t>
  </si>
  <si>
    <t>Eye Opening post_exp</t>
  </si>
  <si>
    <t>Verbal Response post_exp</t>
  </si>
  <si>
    <t>Motor Response post_exp</t>
  </si>
  <si>
    <t>Glasgow Coma Score post_exp</t>
  </si>
  <si>
    <t>Glasgow Severity post_exp</t>
  </si>
  <si>
    <t>Long Term Memory post_exp</t>
  </si>
  <si>
    <t>Short Term Memory post_exp</t>
  </si>
  <si>
    <t>Recall Speed post_exp</t>
  </si>
  <si>
    <t>Orientation - Person post_exp</t>
  </si>
  <si>
    <t>Orientation - Place post_exp</t>
  </si>
  <si>
    <t>Orientation - Time post_exp</t>
  </si>
  <si>
    <t>Orientation - Event post_exp</t>
  </si>
  <si>
    <t>Orientation Score post_exp</t>
  </si>
  <si>
    <t>Level of Interaction_pre_exp</t>
  </si>
  <si>
    <t>Level of Interaction_post_exp</t>
  </si>
  <si>
    <t>asdjfh, asdf as,fa sad fasdf lkjafj; afasd ,adf asfkasdl; fsadk ads;lk jlksad; lkafj adlkfj al;sdjf; adf,sdf sdkfja slkfj sdfjj sa;lkfjasl;df ;df;l as;f asdf</t>
  </si>
  <si>
    <t>asd fasdfasdf kjsf jweqhfjwflafh asdjahf qwhfwefjhalsdfhlksafnashfadjfasdjlsadlfljasdflsdhfhsdo;fo;joasjfiadjspfjasdfjsadc</t>
  </si>
  <si>
    <t>asdfasdf</t>
  </si>
  <si>
    <t>Other Relationship Description</t>
  </si>
  <si>
    <t>Date</t>
  </si>
  <si>
    <t>Owner</t>
  </si>
  <si>
    <t>Description</t>
  </si>
  <si>
    <t xml:space="preserve">testas afasd fal halkj fadflkad hflsad jfhasdlkj fasjlf haslkjf adf </t>
  </si>
  <si>
    <t xml:space="preserve">asdfj lks jf;adsljfdsal jfdsaj fsadkj fadsjf asdjf sad; fjasdk fj fsad; fjs </t>
  </si>
  <si>
    <t>aaljsdlkfajd sakfj ;sjf lkasdj fadsfk adjsf wqiof wqifpw gj sdkfj ao;if ;sf ;</t>
  </si>
  <si>
    <t>test</t>
  </si>
  <si>
    <t>Report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</si>
</sst>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4" borderId="1" xfId="0" applyFill="1" applyBorder="1"/>
    <xf numFmtId="0" fontId="0" fillId="4" borderId="1" xfId="0" applyFill="1" applyBorder="1" applyAlignment="1">
      <alignment horizontal="left" vertical="top" wrapText="1"/>
    </xf>
    <xf numFmtId="0" fontId="0" fillId="3" borderId="0" xfId="0" applyFill="1" applyAlignment="1">
      <alignment horizontal="right" shrinkToFit="1"/>
    </xf>
    <xf numFmtId="0" fontId="0" fillId="4" borderId="2" xfId="0" applyFill="1" applyBorder="1" applyAlignment="1">
      <alignment horizontal="left" vertical="top" wrapText="1"/>
    </xf>
    <xf numFmtId="0" fontId="0" fillId="4" borderId="3" xfId="0" applyFill="1" applyBorder="1" applyAlignment="1">
      <alignment horizontal="left" vertical="top" wrapText="1"/>
    </xf>
    <xf numFmtId="0" fontId="0" fillId="4" borderId="4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14" fontId="4" fillId="0" borderId="0" xfId="0" applyNumberFormat="1" applyFont="1"/>
    <xf numFmtId="165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O$1" noThreeD="1"/>
</file>

<file path=xl/ctrlProps/ctrlProp3.xml><?xml version="1.0" encoding="utf-8"?>
<formControlPr xmlns="http://schemas.microsoft.com/office/spreadsheetml/2009/9/main" objectType="Radio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Drop" dropStyle="combo" dx="22" fmlaLink="$O$3" fmlaRange="Options!$A$121:$A$129" noThreeD="1" sel="1" val="0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Drop" dropStyle="combo" dx="22" fmlaLink="$O$4" fmlaRange="Options!$A$132:$A$148" noThreeD="1" sel="1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Drop" dropStyle="combo" dx="22" fmlaLink="$O$32" fmlaRange="Options!$A$153:$A$159" noThreeD="1" sel="1" val="0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Drop" dropStyle="combo" dx="22" fmlaLink="$O$36" fmlaRange="Options!$A$172:$A$176" noThreeD="1" sel="1" val="0"/>
</file>

<file path=xl/ctrlProps/ctrlProp15.xml><?xml version="1.0" encoding="utf-8"?>
<formControlPr xmlns="http://schemas.microsoft.com/office/spreadsheetml/2009/9/main" objectType="Drop" dropStyle="combo" dx="22" fmlaLink="$O$37" fmlaRange="Options!$A$178:$A$183" noThreeD="1" sel="1" val="0"/>
</file>

<file path=xl/ctrlProps/ctrlProp16.xml><?xml version="1.0" encoding="utf-8"?>
<formControlPr xmlns="http://schemas.microsoft.com/office/spreadsheetml/2009/9/main" objectType="Drop" dropStyle="combo" dx="22" fmlaLink="$O$38" fmlaRange="Options!$A$185:$A$191" noThreeD="1" sel="1" val="0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Drop" dropStyle="combo" dx="22" fmlaLink="$O$41" fmlaRange="Options!$A$216:$A$220" noThreeD="1" sel="1" val="0"/>
</file>

<file path=xl/ctrlProps/ctrlProp22.xml><?xml version="1.0" encoding="utf-8"?>
<formControlPr xmlns="http://schemas.microsoft.com/office/spreadsheetml/2009/9/main" objectType="Drop" dropStyle="combo" dx="22" fmlaLink="$O$43" fmlaRange="Options!$A$228:$A$231" noThreeD="1" sel="1" val="0"/>
</file>

<file path=xl/ctrlProps/ctrlProp23.xml><?xml version="1.0" encoding="utf-8"?>
<formControlPr xmlns="http://schemas.microsoft.com/office/spreadsheetml/2009/9/main" objectType="CheckBox" fmlaLink="$O$44" lockText="1" noThreeD="1"/>
</file>

<file path=xl/ctrlProps/ctrlProp24.xml><?xml version="1.0" encoding="utf-8"?>
<formControlPr xmlns="http://schemas.microsoft.com/office/spreadsheetml/2009/9/main" objectType="CheckBox" fmlaLink="$O$45" lockText="1" noThreeD="1"/>
</file>

<file path=xl/ctrlProps/ctrlProp25.xml><?xml version="1.0" encoding="utf-8"?>
<formControlPr xmlns="http://schemas.microsoft.com/office/spreadsheetml/2009/9/main" objectType="CheckBox" fmlaLink="$O$46" lockText="1" noThreeD="1"/>
</file>

<file path=xl/ctrlProps/ctrlProp26.xml><?xml version="1.0" encoding="utf-8"?>
<formControlPr xmlns="http://schemas.microsoft.com/office/spreadsheetml/2009/9/main" objectType="CheckBox" fmlaLink="$O$47" lockText="1" noThreeD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CheckBox" fmlaLink="$O$5" lockText="1" noThreeD="1"/>
</file>

<file path=xl/ctrlProps/ctrlProp30.xml><?xml version="1.0" encoding="utf-8"?>
<formControlPr xmlns="http://schemas.microsoft.com/office/spreadsheetml/2009/9/main" objectType="CheckBox" fmlaLink="$O$6" lockText="1" noThreeD="1"/>
</file>

<file path=xl/ctrlProps/ctrlProp31.xml><?xml version="1.0" encoding="utf-8"?>
<formControlPr xmlns="http://schemas.microsoft.com/office/spreadsheetml/2009/9/main" objectType="CheckBox" fmlaLink="$O$7" lockText="1" noThreeD="1"/>
</file>

<file path=xl/ctrlProps/ctrlProp32.xml><?xml version="1.0" encoding="utf-8"?>
<formControlPr xmlns="http://schemas.microsoft.com/office/spreadsheetml/2009/9/main" objectType="CheckBox" fmlaLink="$O$8" lockText="1" noThreeD="1"/>
</file>

<file path=xl/ctrlProps/ctrlProp33.xml><?xml version="1.0" encoding="utf-8"?>
<formControlPr xmlns="http://schemas.microsoft.com/office/spreadsheetml/2009/9/main" objectType="CheckBox" fmlaLink="$O$9" lockText="1" noThreeD="1"/>
</file>

<file path=xl/ctrlProps/ctrlProp34.xml><?xml version="1.0" encoding="utf-8"?>
<formControlPr xmlns="http://schemas.microsoft.com/office/spreadsheetml/2009/9/main" objectType="CheckBox" fmlaLink="$O$10" lockText="1" noThreeD="1"/>
</file>

<file path=xl/ctrlProps/ctrlProp35.xml><?xml version="1.0" encoding="utf-8"?>
<formControlPr xmlns="http://schemas.microsoft.com/office/spreadsheetml/2009/9/main" objectType="CheckBox" fmlaLink="$O$11" lockText="1" noThreeD="1"/>
</file>

<file path=xl/ctrlProps/ctrlProp36.xml><?xml version="1.0" encoding="utf-8"?>
<formControlPr xmlns="http://schemas.microsoft.com/office/spreadsheetml/2009/9/main" objectType="CheckBox" fmlaLink="$O$12" lockText="1" noThreeD="1"/>
</file>

<file path=xl/ctrlProps/ctrlProp37.xml><?xml version="1.0" encoding="utf-8"?>
<formControlPr xmlns="http://schemas.microsoft.com/office/spreadsheetml/2009/9/main" objectType="CheckBox" fmlaLink="$O$13" lockText="1" noThreeD="1"/>
</file>

<file path=xl/ctrlProps/ctrlProp38.xml><?xml version="1.0" encoding="utf-8"?>
<formControlPr xmlns="http://schemas.microsoft.com/office/spreadsheetml/2009/9/main" objectType="CheckBox" fmlaLink="$O$14" lockText="1" noThreeD="1"/>
</file>

<file path=xl/ctrlProps/ctrlProp39.xml><?xml version="1.0" encoding="utf-8"?>
<formControlPr xmlns="http://schemas.microsoft.com/office/spreadsheetml/2009/9/main" objectType="CheckBox" fmlaLink="$O$15" lockText="1" noThreeD="1"/>
</file>

<file path=xl/ctrlProps/ctrlProp40.xml><?xml version="1.0" encoding="utf-8"?>
<formControlPr xmlns="http://schemas.microsoft.com/office/spreadsheetml/2009/9/main" objectType="CheckBox" fmlaLink="$O$16" lockText="1" noThreeD="1"/>
</file>

<file path=xl/ctrlProps/ctrlProp41.xml><?xml version="1.0" encoding="utf-8"?>
<formControlPr xmlns="http://schemas.microsoft.com/office/spreadsheetml/2009/9/main" objectType="CheckBox" fmlaLink="$O$17" lockText="1" noThreeD="1"/>
</file>

<file path=xl/ctrlProps/ctrlProp42.xml><?xml version="1.0" encoding="utf-8"?>
<formControlPr xmlns="http://schemas.microsoft.com/office/spreadsheetml/2009/9/main" objectType="CheckBox" fmlaLink="$O$18" lockText="1" noThreeD="1"/>
</file>

<file path=xl/ctrlProps/ctrlProp43.xml><?xml version="1.0" encoding="utf-8"?>
<formControlPr xmlns="http://schemas.microsoft.com/office/spreadsheetml/2009/9/main" objectType="CheckBox" fmlaLink="$O$19" lockText="1" noThreeD="1"/>
</file>

<file path=xl/ctrlProps/ctrlProp44.xml><?xml version="1.0" encoding="utf-8"?>
<formControlPr xmlns="http://schemas.microsoft.com/office/spreadsheetml/2009/9/main" objectType="CheckBox" fmlaLink="$O$20" lockText="1" noThreeD="1"/>
</file>

<file path=xl/ctrlProps/ctrlProp45.xml><?xml version="1.0" encoding="utf-8"?>
<formControlPr xmlns="http://schemas.microsoft.com/office/spreadsheetml/2009/9/main" objectType="CheckBox" fmlaLink="$O$21" lockText="1" noThreeD="1"/>
</file>

<file path=xl/ctrlProps/ctrlProp46.xml><?xml version="1.0" encoding="utf-8"?>
<formControlPr xmlns="http://schemas.microsoft.com/office/spreadsheetml/2009/9/main" objectType="CheckBox" fmlaLink="$O$22" lockText="1" noThreeD="1"/>
</file>

<file path=xl/ctrlProps/ctrlProp47.xml><?xml version="1.0" encoding="utf-8"?>
<formControlPr xmlns="http://schemas.microsoft.com/office/spreadsheetml/2009/9/main" objectType="CheckBox" fmlaLink="$O$23" lockText="1" noThreeD="1"/>
</file>

<file path=xl/ctrlProps/ctrlProp48.xml><?xml version="1.0" encoding="utf-8"?>
<formControlPr xmlns="http://schemas.microsoft.com/office/spreadsheetml/2009/9/main" objectType="CheckBox" fmlaLink="$O$24" lockText="1" noThreeD="1"/>
</file>

<file path=xl/ctrlProps/ctrlProp49.xml><?xml version="1.0" encoding="utf-8"?>
<formControlPr xmlns="http://schemas.microsoft.com/office/spreadsheetml/2009/9/main" objectType="CheckBox" fmlaLink="$O$25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O$27" lockText="1" noThreeD="1"/>
</file>

<file path=xl/ctrlProps/ctrlProp52.xml><?xml version="1.0" encoding="utf-8"?>
<formControlPr xmlns="http://schemas.microsoft.com/office/spreadsheetml/2009/9/main" objectType="CheckBox" fmlaLink="$O$28" lockText="1" noThreeD="1"/>
</file>

<file path=xl/ctrlProps/ctrlProp53.xml><?xml version="1.0" encoding="utf-8"?>
<formControlPr xmlns="http://schemas.microsoft.com/office/spreadsheetml/2009/9/main" objectType="CheckBox" fmlaLink="$O$29" lockText="1" noThreeD="1"/>
</file>

<file path=xl/ctrlProps/ctrlProp54.xml><?xml version="1.0" encoding="utf-8"?>
<formControlPr xmlns="http://schemas.microsoft.com/office/spreadsheetml/2009/9/main" objectType="CheckBox" fmlaLink="$O$30" lockText="1" noThreeD="1"/>
</file>

<file path=xl/ctrlProps/ctrlProp55.xml><?xml version="1.0" encoding="utf-8"?>
<formControlPr xmlns="http://schemas.microsoft.com/office/spreadsheetml/2009/9/main" objectType="CheckBox" fmlaLink="$O$31" lockText="1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Drop" dropStyle="combo" dx="22" fmlaLink="$O$42" fmlaRange="Options!$A$222:$A$226" noThreeD="1" sel="1" val="0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Drop" dropStyle="combo" dx="22" fmlaLink="$O$48" fmlaRange="Options!$A$241:$A$245" noThreeD="1" sel="1" val="0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Drop" dropStyle="combo" dx="22" fmlaLink="$O$50" fmlaRange="Options!$A$253:$A$260" noThreeD="1" sel="1" val="0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Drop" dropStyle="combo" dx="22" fmlaLink="$O$52" fmlaRange="Options!$A$248:$A$251" noThreeD="1" sel="1" val="0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Drop" dropStyle="combo" dx="22" fmlaLink="$O$53" fmlaRange="Options!$A$262:$A$266" noThreeD="1" sel="1" val="0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Drop" dropStyle="combo" dx="22" fmlaLink="$O$54" fmlaRange="Options!$A$268:$A$272" noThreeD="1" sel="1" val="0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Drop" dropStyle="combo" dx="22" fmlaLink="$O$55" fmlaRange="Options!$A$274:$A$278" noThreeD="1" sel="1" val="0"/>
</file>

<file path=xl/ctrlProps/ctrlProp72.xml><?xml version="1.0" encoding="utf-8"?>
<formControlPr xmlns="http://schemas.microsoft.com/office/spreadsheetml/2009/9/main" objectType="Drop" dropStyle="combo" dx="22" fmlaLink="$O$35" fmlaRange="Options!$A$280:$A$287" noThreeD="1" sel="1" val="0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CheckBox" fmlaLink="$O$56" lockText="1" noThreeD="1"/>
</file>

<file path=xl/ctrlProps/ctrlProp75.xml><?xml version="1.0" encoding="utf-8"?>
<formControlPr xmlns="http://schemas.microsoft.com/office/spreadsheetml/2009/9/main" objectType="CheckBox" fmlaLink="$O$57" lockText="1" noThreeD="1"/>
</file>

<file path=xl/ctrlProps/ctrlProp76.xml><?xml version="1.0" encoding="utf-8"?>
<formControlPr xmlns="http://schemas.microsoft.com/office/spreadsheetml/2009/9/main" objectType="CheckBox" fmlaLink="$O$58" lockText="1" noThreeD="1"/>
</file>

<file path=xl/ctrlProps/ctrlProp77.xml><?xml version="1.0" encoding="utf-8"?>
<formControlPr xmlns="http://schemas.microsoft.com/office/spreadsheetml/2009/9/main" objectType="CheckBox" fmlaLink="$O$59" lockText="1" noThreeD="1"/>
</file>

<file path=xl/ctrlProps/ctrlProp78.xml><?xml version="1.0" encoding="utf-8"?>
<formControlPr xmlns="http://schemas.microsoft.com/office/spreadsheetml/2009/9/main" objectType="CheckBox" fmlaLink="$O$60" lockText="1" noThreeD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Drop" dropStyle="combo" dx="22" fmlaLink="$O$109" fmlaRange="Options!$A$296:$A$298" noThreeD="1" sel="1" val="0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Drop" dropStyle="combo" dx="22" fmlaLink="$O$94" fmlaRange="Options!$A$153:$A$159" noThreeD="1" sel="1" val="0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ctrlProps/ctrlProp94.xml><?xml version="1.0" encoding="utf-8"?>
<formControlPr xmlns="http://schemas.microsoft.com/office/spreadsheetml/2009/9/main" objectType="Drop" dropStyle="combo" dx="22" fmlaLink="$O$96" fmlaRange="Options!$A$172:$A$176" noThreeD="1" sel="1" val="0"/>
</file>

<file path=xl/ctrlProps/ctrlProp95.xml><?xml version="1.0" encoding="utf-8"?>
<formControlPr xmlns="http://schemas.microsoft.com/office/spreadsheetml/2009/9/main" objectType="Drop" dropStyle="combo" dx="22" fmlaLink="$O$97" fmlaRange="Options!$A$178:$A$183" noThreeD="1" sel="1" val="0"/>
</file>

<file path=xl/ctrlProps/ctrlProp96.xml><?xml version="1.0" encoding="utf-8"?>
<formControlPr xmlns="http://schemas.microsoft.com/office/spreadsheetml/2009/9/main" objectType="Drop" dropStyle="combo" dx="22" fmlaLink="$O$98" fmlaRange="Options!$A$185:$A$191" noThreeD="1" sel="1" val="0"/>
</file>

<file path=xl/ctrlProps/ctrlProp97.xml><?xml version="1.0" encoding="utf-8"?>
<formControlPr xmlns="http://schemas.microsoft.com/office/spreadsheetml/2009/9/main" objectType="Drop" dropStyle="combo" dx="22" fmlaLink="$O$101" fmlaRange="Options!$A$216:$A$220" noThreeD="1" sel="1" val="0"/>
</file>

<file path=xl/ctrlProps/ctrlProp98.xml><?xml version="1.0" encoding="utf-8"?>
<formControlPr xmlns="http://schemas.microsoft.com/office/spreadsheetml/2009/9/main" objectType="Drop" dropStyle="combo" dx="22" fmlaLink="$O$103" fmlaRange="Options!$A$228:$A$231" noThreeD="1" sel="1" val="0"/>
</file>

<file path=xl/ctrlProps/ctrlProp99.xml><?xml version="1.0" encoding="utf-8"?>
<formControlPr xmlns="http://schemas.microsoft.com/office/spreadsheetml/2009/9/main" objectType="CheckBox" fmlaLink="$O$104" lockText="1" noThreeD="1"/>
</file>

<file path=xl/ctrlProps/ctrlProp100.xml><?xml version="1.0" encoding="utf-8"?>
<formControlPr xmlns="http://schemas.microsoft.com/office/spreadsheetml/2009/9/main" objectType="CheckBox" fmlaLink="$O$105" lockText="1" noThreeD="1"/>
</file>

<file path=xl/ctrlProps/ctrlProp101.xml><?xml version="1.0" encoding="utf-8"?>
<formControlPr xmlns="http://schemas.microsoft.com/office/spreadsheetml/2009/9/main" objectType="CheckBox" fmlaLink="$O$106" lockText="1" noThreeD="1"/>
</file>

<file path=xl/ctrlProps/ctrlProp102.xml><?xml version="1.0" encoding="utf-8"?>
<formControlPr xmlns="http://schemas.microsoft.com/office/spreadsheetml/2009/9/main" objectType="CheckBox" fmlaLink="$O$107" lockText="1" noThreeD="1"/>
</file>

<file path=xl/ctrlProps/ctrlProp103.xml><?xml version="1.0" encoding="utf-8"?>
<formControlPr xmlns="http://schemas.microsoft.com/office/spreadsheetml/2009/9/main" objectType="Label" lockText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CheckBox" fmlaLink="$O$66" lockText="1" noThreeD="1"/>
</file>

<file path=xl/ctrlProps/ctrlProp106.xml><?xml version="1.0" encoding="utf-8"?>
<formControlPr xmlns="http://schemas.microsoft.com/office/spreadsheetml/2009/9/main" objectType="CheckBox" fmlaLink="$O$67" lockText="1" noThreeD="1"/>
</file>

<file path=xl/ctrlProps/ctrlProp107.xml><?xml version="1.0" encoding="utf-8"?>
<formControlPr xmlns="http://schemas.microsoft.com/office/spreadsheetml/2009/9/main" objectType="CheckBox" fmlaLink="$O$68" lockText="1" noThreeD="1"/>
</file>

<file path=xl/ctrlProps/ctrlProp108.xml><?xml version="1.0" encoding="utf-8"?>
<formControlPr xmlns="http://schemas.microsoft.com/office/spreadsheetml/2009/9/main" objectType="CheckBox" fmlaLink="$O$69" lockText="1" noThreeD="1"/>
</file>

<file path=xl/ctrlProps/ctrlProp109.xml><?xml version="1.0" encoding="utf-8"?>
<formControlPr xmlns="http://schemas.microsoft.com/office/spreadsheetml/2009/9/main" objectType="CheckBox" fmlaLink="$O$70" lockText="1" noThreeD="1"/>
</file>

<file path=xl/ctrlProps/ctrlProp110.xml><?xml version="1.0" encoding="utf-8"?>
<formControlPr xmlns="http://schemas.microsoft.com/office/spreadsheetml/2009/9/main" objectType="CheckBox" fmlaLink="$O$71" lockText="1" noThreeD="1"/>
</file>

<file path=xl/ctrlProps/ctrlProp111.xml><?xml version="1.0" encoding="utf-8"?>
<formControlPr xmlns="http://schemas.microsoft.com/office/spreadsheetml/2009/9/main" objectType="CheckBox" fmlaLink="$O$72" lockText="1" noThreeD="1"/>
</file>

<file path=xl/ctrlProps/ctrlProp112.xml><?xml version="1.0" encoding="utf-8"?>
<formControlPr xmlns="http://schemas.microsoft.com/office/spreadsheetml/2009/9/main" objectType="CheckBox" fmlaLink="$O$73" lockText="1" noThreeD="1"/>
</file>

<file path=xl/ctrlProps/ctrlProp113.xml><?xml version="1.0" encoding="utf-8"?>
<formControlPr xmlns="http://schemas.microsoft.com/office/spreadsheetml/2009/9/main" objectType="CheckBox" fmlaLink="$O$74" lockText="1" noThreeD="1"/>
</file>

<file path=xl/ctrlProps/ctrlProp114.xml><?xml version="1.0" encoding="utf-8"?>
<formControlPr xmlns="http://schemas.microsoft.com/office/spreadsheetml/2009/9/main" objectType="CheckBox" fmlaLink="$O$75" lockText="1" noThreeD="1"/>
</file>

<file path=xl/ctrlProps/ctrlProp115.xml><?xml version="1.0" encoding="utf-8"?>
<formControlPr xmlns="http://schemas.microsoft.com/office/spreadsheetml/2009/9/main" objectType="CheckBox" fmlaLink="$O$76" lockText="1" noThreeD="1"/>
</file>

<file path=xl/ctrlProps/ctrlProp116.xml><?xml version="1.0" encoding="utf-8"?>
<formControlPr xmlns="http://schemas.microsoft.com/office/spreadsheetml/2009/9/main" objectType="CheckBox" fmlaLink="$O$77" lockText="1" noThreeD="1"/>
</file>

<file path=xl/ctrlProps/ctrlProp117.xml><?xml version="1.0" encoding="utf-8"?>
<formControlPr xmlns="http://schemas.microsoft.com/office/spreadsheetml/2009/9/main" objectType="CheckBox" fmlaLink="$O$78" lockText="1" noThreeD="1"/>
</file>

<file path=xl/ctrlProps/ctrlProp118.xml><?xml version="1.0" encoding="utf-8"?>
<formControlPr xmlns="http://schemas.microsoft.com/office/spreadsheetml/2009/9/main" objectType="CheckBox" fmlaLink="$O$79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O$81" lockText="1" noThreeD="1"/>
</file>

<file path=xl/ctrlProps/ctrlProp121.xml><?xml version="1.0" encoding="utf-8"?>
<formControlPr xmlns="http://schemas.microsoft.com/office/spreadsheetml/2009/9/main" objectType="CheckBox" fmlaLink="$O$82" lockText="1" noThreeD="1"/>
</file>

<file path=xl/ctrlProps/ctrlProp122.xml><?xml version="1.0" encoding="utf-8"?>
<formControlPr xmlns="http://schemas.microsoft.com/office/spreadsheetml/2009/9/main" objectType="CheckBox" fmlaLink="$O$83" lockText="1" noThreeD="1"/>
</file>

<file path=xl/ctrlProps/ctrlProp123.xml><?xml version="1.0" encoding="utf-8"?>
<formControlPr xmlns="http://schemas.microsoft.com/office/spreadsheetml/2009/9/main" objectType="CheckBox" fmlaLink="$O$84" lockText="1" noThreeD="1"/>
</file>

<file path=xl/ctrlProps/ctrlProp124.xml><?xml version="1.0" encoding="utf-8"?>
<formControlPr xmlns="http://schemas.microsoft.com/office/spreadsheetml/2009/9/main" objectType="CheckBox" fmlaLink="$O$85" lockText="1" noThreeD="1"/>
</file>

<file path=xl/ctrlProps/ctrlProp125.xml><?xml version="1.0" encoding="utf-8"?>
<formControlPr xmlns="http://schemas.microsoft.com/office/spreadsheetml/2009/9/main" objectType="CheckBox" fmlaLink="$O$86" lockText="1" noThreeD="1"/>
</file>

<file path=xl/ctrlProps/ctrlProp126.xml><?xml version="1.0" encoding="utf-8"?>
<formControlPr xmlns="http://schemas.microsoft.com/office/spreadsheetml/2009/9/main" objectType="CheckBox" fmlaLink="$O$87" lockText="1" noThreeD="1"/>
</file>

<file path=xl/ctrlProps/ctrlProp127.xml><?xml version="1.0" encoding="utf-8"?>
<formControlPr xmlns="http://schemas.microsoft.com/office/spreadsheetml/2009/9/main" objectType="CheckBox" fmlaLink="$O$88" lockText="1" noThreeD="1"/>
</file>

<file path=xl/ctrlProps/ctrlProp128.xml><?xml version="1.0" encoding="utf-8"?>
<formControlPr xmlns="http://schemas.microsoft.com/office/spreadsheetml/2009/9/main" objectType="CheckBox" fmlaLink="$O$89" lockText="1" noThreeD="1"/>
</file>

<file path=xl/ctrlProps/ctrlProp129.xml><?xml version="1.0" encoding="utf-8"?>
<formControlPr xmlns="http://schemas.microsoft.com/office/spreadsheetml/2009/9/main" objectType="CheckBox" fmlaLink="$O$90" lockText="1" noThreeD="1"/>
</file>

<file path=xl/ctrlProps/ctrlProp130.xml><?xml version="1.0" encoding="utf-8"?>
<formControlPr xmlns="http://schemas.microsoft.com/office/spreadsheetml/2009/9/main" objectType="CheckBox" fmlaLink="$O$91" lockText="1" noThreeD="1"/>
</file>

<file path=xl/ctrlProps/ctrlProp131.xml><?xml version="1.0" encoding="utf-8"?>
<formControlPr xmlns="http://schemas.microsoft.com/office/spreadsheetml/2009/9/main" objectType="CheckBox" fmlaLink="$O$92" lockText="1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Drop" dropStyle="combo" dx="22" fmlaLink="$O$102" fmlaRange="Options!$A$222:$A$226" noThreeD="1" sel="1" val="0"/>
</file>

<file path=xl/ctrlProps/ctrlProp134.xml><?xml version="1.0" encoding="utf-8"?>
<formControlPr xmlns="http://schemas.microsoft.com/office/spreadsheetml/2009/9/main" objectType="Label" lockText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Label" lockText="1"/>
</file>

<file path=xl/ctrlProps/ctrlProp137.xml><?xml version="1.0" encoding="utf-8"?>
<formControlPr xmlns="http://schemas.microsoft.com/office/spreadsheetml/2009/9/main" objectType="Label" lockText="1"/>
</file>

<file path=xl/ctrlProps/ctrlProp138.xml><?xml version="1.0" encoding="utf-8"?>
<formControlPr xmlns="http://schemas.microsoft.com/office/spreadsheetml/2009/9/main" objectType="Label" lockText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Label" lockText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Drop" dropStyle="combo" dx="22" fmlaLink="$O$95" fmlaRange="Options!$A$280:$A$287" noThreeD="1" sel="1" val="0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Label" lockText="1"/>
</file>

<file path=xl/ctrlProps/ctrlProp150.xml><?xml version="1.0" encoding="utf-8"?>
<formControlPr xmlns="http://schemas.microsoft.com/office/spreadsheetml/2009/9/main" objectType="Label" lockText="1"/>
</file>

<file path=xl/ctrlProps/ctrlProp151.xml><?xml version="1.0" encoding="utf-8"?>
<formControlPr xmlns="http://schemas.microsoft.com/office/spreadsheetml/2009/9/main" objectType="Label" lockText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7173" name="Group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0</xdr:rowOff>
        </xdr:from>
        <xdr:to>
          <xdr:col>3</xdr:col>
          <xdr:colOff>5795</xdr:colOff>
          <xdr:row>5</xdr:row>
          <xdr:rowOff>85725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485775</xdr:colOff>
          <xdr:row>5</xdr:row>
          <xdr:rowOff>85725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7180" name="Group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Ethnicity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12</xdr:row>
          <xdr:rowOff>0</xdr:rowOff>
        </xdr:from>
        <xdr:to>
          <xdr:col>5</xdr:col>
          <xdr:colOff>371475</xdr:colOff>
          <xdr:row>13</xdr:row>
          <xdr:rowOff>0</xdr:rowOff>
        </xdr:to>
        <xdr:sp macro="" textlink="">
          <xdr:nvSpPr>
            <xdr:cNvPr id="7181" name="Drop Dow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7182" name="Group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Religious Affiliation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15</xdr:row>
          <xdr:rowOff>190500</xdr:rowOff>
        </xdr:from>
        <xdr:to>
          <xdr:col>5</xdr:col>
          <xdr:colOff>200025</xdr:colOff>
          <xdr:row>17</xdr:row>
          <xdr:rowOff>0</xdr:rowOff>
        </xdr:to>
        <xdr:sp macro="" textlink="">
          <xdr:nvSpPr>
            <xdr:cNvPr id="7183" name="Drop Dow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7185" name="Group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7187" name="Drop Dow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0</xdr:rowOff>
        </xdr:from>
        <xdr:to>
          <xdr:col>7</xdr:col>
          <xdr:colOff>0</xdr:colOff>
          <xdr:row>65</xdr:row>
          <xdr:rowOff>0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0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0</xdr:rowOff>
        </xdr:from>
        <xdr:to>
          <xdr:col>3</xdr:col>
          <xdr:colOff>400050</xdr:colOff>
          <xdr:row>57</xdr:row>
          <xdr:rowOff>0</xdr:rowOff>
        </xdr:to>
        <xdr:sp macro="" textlink="">
          <xdr:nvSpPr>
            <xdr:cNvPr id="7191" name="Label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7192" name="Label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0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0</xdr:rowOff>
        </xdr:from>
        <xdr:to>
          <xdr:col>3</xdr:col>
          <xdr:colOff>400050</xdr:colOff>
          <xdr:row>61</xdr:row>
          <xdr:rowOff>0</xdr:rowOff>
        </xdr:to>
        <xdr:sp macro="" textlink="">
          <xdr:nvSpPr>
            <xdr:cNvPr id="7193" name="Label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6</xdr:col>
          <xdr:colOff>0</xdr:colOff>
          <xdr:row>57</xdr:row>
          <xdr:rowOff>0</xdr:rowOff>
        </xdr:to>
        <xdr:sp macro="" textlink="">
          <xdr:nvSpPr>
            <xdr:cNvPr id="7194" name="Drop Dow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180975</xdr:rowOff>
        </xdr:from>
        <xdr:to>
          <xdr:col>6</xdr:col>
          <xdr:colOff>0</xdr:colOff>
          <xdr:row>59</xdr:row>
          <xdr:rowOff>0</xdr:rowOff>
        </xdr:to>
        <xdr:sp macro="" textlink="">
          <xdr:nvSpPr>
            <xdr:cNvPr id="7195" name="Drop Dow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180975</xdr:rowOff>
        </xdr:from>
        <xdr:to>
          <xdr:col>6</xdr:col>
          <xdr:colOff>0</xdr:colOff>
          <xdr:row>61</xdr:row>
          <xdr:rowOff>0</xdr:rowOff>
        </xdr:to>
        <xdr:sp macro="" textlink="">
          <xdr:nvSpPr>
            <xdr:cNvPr id="7196" name="Drop Dow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0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0</xdr:rowOff>
        </xdr:from>
        <xdr:to>
          <xdr:col>3</xdr:col>
          <xdr:colOff>400050</xdr:colOff>
          <xdr:row>64</xdr:row>
          <xdr:rowOff>0</xdr:rowOff>
        </xdr:to>
        <xdr:sp macro="" textlink="">
          <xdr:nvSpPr>
            <xdr:cNvPr id="7197" name="Label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0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7198" name="Group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0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Diagnoses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0</xdr:rowOff>
        </xdr:from>
        <xdr:to>
          <xdr:col>9</xdr:col>
          <xdr:colOff>0</xdr:colOff>
          <xdr:row>72</xdr:row>
          <xdr:rowOff>180975</xdr:rowOff>
        </xdr:to>
        <xdr:sp macro="" textlink="">
          <xdr:nvSpPr>
            <xdr:cNvPr id="7199" name="Group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0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67</xdr:row>
          <xdr:rowOff>0</xdr:rowOff>
        </xdr:from>
        <xdr:to>
          <xdr:col>3</xdr:col>
          <xdr:colOff>400050</xdr:colOff>
          <xdr:row>68</xdr:row>
          <xdr:rowOff>0</xdr:rowOff>
        </xdr:to>
        <xdr:sp macro="" textlink="">
          <xdr:nvSpPr>
            <xdr:cNvPr id="7200" name="Label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0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69</xdr:row>
          <xdr:rowOff>9525</xdr:rowOff>
        </xdr:from>
        <xdr:to>
          <xdr:col>3</xdr:col>
          <xdr:colOff>0</xdr:colOff>
          <xdr:row>70</xdr:row>
          <xdr:rowOff>9525</xdr:rowOff>
        </xdr:to>
        <xdr:sp macro="" textlink="">
          <xdr:nvSpPr>
            <xdr:cNvPr id="7201" name="Label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0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71</xdr:row>
          <xdr:rowOff>0</xdr:rowOff>
        </xdr:from>
        <xdr:to>
          <xdr:col>3</xdr:col>
          <xdr:colOff>400050</xdr:colOff>
          <xdr:row>72</xdr:row>
          <xdr:rowOff>0</xdr:rowOff>
        </xdr:to>
        <xdr:sp macro="" textlink="">
          <xdr:nvSpPr>
            <xdr:cNvPr id="7202" name="Label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0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67</xdr:row>
          <xdr:rowOff>0</xdr:rowOff>
        </xdr:from>
        <xdr:to>
          <xdr:col>8</xdr:col>
          <xdr:colOff>0</xdr:colOff>
          <xdr:row>68</xdr:row>
          <xdr:rowOff>0</xdr:rowOff>
        </xdr:to>
        <xdr:sp macro="" textlink="">
          <xdr:nvSpPr>
            <xdr:cNvPr id="7203" name="Drop Dow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0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180975</xdr:rowOff>
        </xdr:from>
        <xdr:to>
          <xdr:col>8</xdr:col>
          <xdr:colOff>0</xdr:colOff>
          <xdr:row>70</xdr:row>
          <xdr:rowOff>0</xdr:rowOff>
        </xdr:to>
        <xdr:sp macro="" textlink="">
          <xdr:nvSpPr>
            <xdr:cNvPr id="7204" name="Drop Dow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0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180975</xdr:rowOff>
        </xdr:from>
        <xdr:to>
          <xdr:col>8</xdr:col>
          <xdr:colOff>0</xdr:colOff>
          <xdr:row>72</xdr:row>
          <xdr:rowOff>0</xdr:rowOff>
        </xdr:to>
        <xdr:sp macro="" textlink="">
          <xdr:nvSpPr>
            <xdr:cNvPr id="7205" name="Drop Dow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0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74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7206" name="Group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0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0</xdr:rowOff>
        </xdr:from>
        <xdr:to>
          <xdr:col>3</xdr:col>
          <xdr:colOff>400050</xdr:colOff>
          <xdr:row>76</xdr:row>
          <xdr:rowOff>28575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0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76</xdr:row>
          <xdr:rowOff>0</xdr:rowOff>
        </xdr:from>
        <xdr:to>
          <xdr:col>3</xdr:col>
          <xdr:colOff>200025</xdr:colOff>
          <xdr:row>77</xdr:row>
          <xdr:rowOff>28575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0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77</xdr:row>
          <xdr:rowOff>0</xdr:rowOff>
        </xdr:from>
        <xdr:to>
          <xdr:col>3</xdr:col>
          <xdr:colOff>400050</xdr:colOff>
          <xdr:row>78</xdr:row>
          <xdr:rowOff>28575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0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0</xdr:rowOff>
        </xdr:from>
        <xdr:to>
          <xdr:col>3</xdr:col>
          <xdr:colOff>400050</xdr:colOff>
          <xdr:row>79</xdr:row>
          <xdr:rowOff>28575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0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80</xdr:row>
          <xdr:rowOff>0</xdr:rowOff>
        </xdr:from>
        <xdr:to>
          <xdr:col>3</xdr:col>
          <xdr:colOff>0</xdr:colOff>
          <xdr:row>81</xdr:row>
          <xdr:rowOff>0</xdr:rowOff>
        </xdr:to>
        <xdr:sp macro="" textlink="">
          <xdr:nvSpPr>
            <xdr:cNvPr id="7213" name="Label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0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7214" name="Group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0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581025</xdr:colOff>
          <xdr:row>24</xdr:row>
          <xdr:rowOff>28575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581025</xdr:colOff>
          <xdr:row>25</xdr:row>
          <xdr:rowOff>28575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180975</xdr:rowOff>
        </xdr:from>
        <xdr:to>
          <xdr:col>3</xdr:col>
          <xdr:colOff>581025</xdr:colOff>
          <xdr:row>26</xdr:row>
          <xdr:rowOff>19050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180975</xdr:rowOff>
        </xdr:from>
        <xdr:to>
          <xdr:col>3</xdr:col>
          <xdr:colOff>581025</xdr:colOff>
          <xdr:row>27</xdr:row>
          <xdr:rowOff>19050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180975</xdr:rowOff>
        </xdr:from>
        <xdr:to>
          <xdr:col>3</xdr:col>
          <xdr:colOff>581025</xdr:colOff>
          <xdr:row>28</xdr:row>
          <xdr:rowOff>19050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171450</xdr:rowOff>
        </xdr:from>
        <xdr:to>
          <xdr:col>3</xdr:col>
          <xdr:colOff>581025</xdr:colOff>
          <xdr:row>29</xdr:row>
          <xdr:rowOff>9525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171450</xdr:rowOff>
        </xdr:from>
        <xdr:to>
          <xdr:col>3</xdr:col>
          <xdr:colOff>581025</xdr:colOff>
          <xdr:row>30</xdr:row>
          <xdr:rowOff>9525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171450</xdr:rowOff>
        </xdr:from>
        <xdr:to>
          <xdr:col>3</xdr:col>
          <xdr:colOff>581025</xdr:colOff>
          <xdr:row>31</xdr:row>
          <xdr:rowOff>9525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161925</xdr:rowOff>
        </xdr:from>
        <xdr:to>
          <xdr:col>3</xdr:col>
          <xdr:colOff>581025</xdr:colOff>
          <xdr:row>32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161925</xdr:rowOff>
        </xdr:from>
        <xdr:to>
          <xdr:col>3</xdr:col>
          <xdr:colOff>581025</xdr:colOff>
          <xdr:row>33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23</xdr:row>
          <xdr:rowOff>0</xdr:rowOff>
        </xdr:from>
        <xdr:to>
          <xdr:col>6</xdr:col>
          <xdr:colOff>114300</xdr:colOff>
          <xdr:row>24</xdr:row>
          <xdr:rowOff>28575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0</xdr:rowOff>
        </xdr:from>
        <xdr:to>
          <xdr:col>6</xdr:col>
          <xdr:colOff>114300</xdr:colOff>
          <xdr:row>25</xdr:row>
          <xdr:rowOff>28575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24</xdr:row>
          <xdr:rowOff>180975</xdr:rowOff>
        </xdr:from>
        <xdr:to>
          <xdr:col>6</xdr:col>
          <xdr:colOff>114300</xdr:colOff>
          <xdr:row>26</xdr:row>
          <xdr:rowOff>19050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25</xdr:row>
          <xdr:rowOff>180975</xdr:rowOff>
        </xdr:from>
        <xdr:to>
          <xdr:col>6</xdr:col>
          <xdr:colOff>114300</xdr:colOff>
          <xdr:row>27</xdr:row>
          <xdr:rowOff>19050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26</xdr:row>
          <xdr:rowOff>180975</xdr:rowOff>
        </xdr:from>
        <xdr:to>
          <xdr:col>6</xdr:col>
          <xdr:colOff>114300</xdr:colOff>
          <xdr:row>28</xdr:row>
          <xdr:rowOff>19050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27</xdr:row>
          <xdr:rowOff>171450</xdr:rowOff>
        </xdr:from>
        <xdr:to>
          <xdr:col>6</xdr:col>
          <xdr:colOff>114300</xdr:colOff>
          <xdr:row>29</xdr:row>
          <xdr:rowOff>9525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28</xdr:row>
          <xdr:rowOff>171450</xdr:rowOff>
        </xdr:from>
        <xdr:to>
          <xdr:col>6</xdr:col>
          <xdr:colOff>114300</xdr:colOff>
          <xdr:row>30</xdr:row>
          <xdr:rowOff>9525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0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29</xdr:row>
          <xdr:rowOff>171450</xdr:rowOff>
        </xdr:from>
        <xdr:to>
          <xdr:col>6</xdr:col>
          <xdr:colOff>114300</xdr:colOff>
          <xdr:row>31</xdr:row>
          <xdr:rowOff>9525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0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30</xdr:row>
          <xdr:rowOff>161925</xdr:rowOff>
        </xdr:from>
        <xdr:to>
          <xdr:col>6</xdr:col>
          <xdr:colOff>114300</xdr:colOff>
          <xdr:row>32</xdr:row>
          <xdr:rowOff>0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31</xdr:row>
          <xdr:rowOff>161925</xdr:rowOff>
        </xdr:from>
        <xdr:to>
          <xdr:col>6</xdr:col>
          <xdr:colOff>114300</xdr:colOff>
          <xdr:row>33</xdr:row>
          <xdr:rowOff>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0</xdr:rowOff>
        </xdr:from>
        <xdr:to>
          <xdr:col>9</xdr:col>
          <xdr:colOff>0</xdr:colOff>
          <xdr:row>24</xdr:row>
          <xdr:rowOff>28575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180975</xdr:rowOff>
        </xdr:from>
        <xdr:to>
          <xdr:col>9</xdr:col>
          <xdr:colOff>0</xdr:colOff>
          <xdr:row>25</xdr:row>
          <xdr:rowOff>19050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180975</xdr:rowOff>
        </xdr:from>
        <xdr:to>
          <xdr:col>8</xdr:col>
          <xdr:colOff>200025</xdr:colOff>
          <xdr:row>26</xdr:row>
          <xdr:rowOff>19050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171450</xdr:rowOff>
        </xdr:from>
        <xdr:to>
          <xdr:col>8</xdr:col>
          <xdr:colOff>200025</xdr:colOff>
          <xdr:row>27</xdr:row>
          <xdr:rowOff>9525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171450</xdr:rowOff>
        </xdr:from>
        <xdr:to>
          <xdr:col>8</xdr:col>
          <xdr:colOff>200025</xdr:colOff>
          <xdr:row>28</xdr:row>
          <xdr:rowOff>9525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161925</xdr:rowOff>
        </xdr:from>
        <xdr:to>
          <xdr:col>8</xdr:col>
          <xdr:colOff>200025</xdr:colOff>
          <xdr:row>29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161925</xdr:rowOff>
        </xdr:from>
        <xdr:to>
          <xdr:col>8</xdr:col>
          <xdr:colOff>200025</xdr:colOff>
          <xdr:row>30</xdr:row>
          <xdr:rowOff>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84</xdr:row>
          <xdr:rowOff>0</xdr:rowOff>
        </xdr:from>
        <xdr:to>
          <xdr:col>8</xdr:col>
          <xdr:colOff>0</xdr:colOff>
          <xdr:row>104</xdr:row>
          <xdr:rowOff>0</xdr:rowOff>
        </xdr:to>
        <xdr:sp macro="" textlink="">
          <xdr:nvSpPr>
            <xdr:cNvPr id="7245" name="Group Box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0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Externally Perceived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85</xdr:row>
          <xdr:rowOff>0</xdr:rowOff>
        </xdr:from>
        <xdr:to>
          <xdr:col>3</xdr:col>
          <xdr:colOff>0</xdr:colOff>
          <xdr:row>86</xdr:row>
          <xdr:rowOff>0</xdr:rowOff>
        </xdr:to>
        <xdr:sp macro="" textlink="">
          <xdr:nvSpPr>
            <xdr:cNvPr id="7246" name="Label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0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Subject: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7</xdr:col>
          <xdr:colOff>0</xdr:colOff>
          <xdr:row>86</xdr:row>
          <xdr:rowOff>9525</xdr:rowOff>
        </xdr:to>
        <xdr:sp macro="" textlink="">
          <xdr:nvSpPr>
            <xdr:cNvPr id="7247" name="Drop Down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0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86</xdr:row>
          <xdr:rowOff>180975</xdr:rowOff>
        </xdr:from>
        <xdr:to>
          <xdr:col>2</xdr:col>
          <xdr:colOff>657225</xdr:colOff>
          <xdr:row>88</xdr:row>
          <xdr:rowOff>0</xdr:rowOff>
        </xdr:to>
        <xdr:sp macro="" textlink="">
          <xdr:nvSpPr>
            <xdr:cNvPr id="7248" name="Label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0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Describe: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91</xdr:row>
          <xdr:rowOff>0</xdr:rowOff>
        </xdr:from>
        <xdr:to>
          <xdr:col>3</xdr:col>
          <xdr:colOff>0</xdr:colOff>
          <xdr:row>92</xdr:row>
          <xdr:rowOff>0</xdr:rowOff>
        </xdr:to>
        <xdr:sp macro="" textlink="">
          <xdr:nvSpPr>
            <xdr:cNvPr id="7249" name="Label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0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Relationship: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7</xdr:col>
          <xdr:colOff>0</xdr:colOff>
          <xdr:row>92</xdr:row>
          <xdr:rowOff>9525</xdr:rowOff>
        </xdr:to>
        <xdr:sp macro="" textlink="">
          <xdr:nvSpPr>
            <xdr:cNvPr id="7250" name="Drop Down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0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96</xdr:row>
          <xdr:rowOff>0</xdr:rowOff>
        </xdr:from>
        <xdr:to>
          <xdr:col>3</xdr:col>
          <xdr:colOff>523875</xdr:colOff>
          <xdr:row>97</xdr:row>
          <xdr:rowOff>66675</xdr:rowOff>
        </xdr:to>
        <xdr:sp macro="" textlink="">
          <xdr:nvSpPr>
            <xdr:cNvPr id="7251" name="Label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0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Living or Deceased: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7</xdr:col>
          <xdr:colOff>0</xdr:colOff>
          <xdr:row>97</xdr:row>
          <xdr:rowOff>9525</xdr:rowOff>
        </xdr:to>
        <xdr:sp macro="" textlink="">
          <xdr:nvSpPr>
            <xdr:cNvPr id="7252" name="Drop Down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0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98</xdr:row>
          <xdr:rowOff>0</xdr:rowOff>
        </xdr:from>
        <xdr:to>
          <xdr:col>2</xdr:col>
          <xdr:colOff>657225</xdr:colOff>
          <xdr:row>98</xdr:row>
          <xdr:rowOff>180975</xdr:rowOff>
        </xdr:to>
        <xdr:sp macro="" textlink="">
          <xdr:nvSpPr>
            <xdr:cNvPr id="7253" name="Label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0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Location: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7</xdr:col>
          <xdr:colOff>0</xdr:colOff>
          <xdr:row>99</xdr:row>
          <xdr:rowOff>9525</xdr:rowOff>
        </xdr:to>
        <xdr:sp macro="" textlink="">
          <xdr:nvSpPr>
            <xdr:cNvPr id="7254" name="Drop Down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0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100</xdr:row>
          <xdr:rowOff>0</xdr:rowOff>
        </xdr:from>
        <xdr:to>
          <xdr:col>3</xdr:col>
          <xdr:colOff>0</xdr:colOff>
          <xdr:row>101</xdr:row>
          <xdr:rowOff>0</xdr:rowOff>
        </xdr:to>
        <xdr:sp macro="" textlink="">
          <xdr:nvSpPr>
            <xdr:cNvPr id="7255" name="Label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0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7</xdr:col>
          <xdr:colOff>0</xdr:colOff>
          <xdr:row>101</xdr:row>
          <xdr:rowOff>0</xdr:rowOff>
        </xdr:to>
        <xdr:sp macro="" textlink="">
          <xdr:nvSpPr>
            <xdr:cNvPr id="7256" name="Drop Dow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0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102</xdr:row>
          <xdr:rowOff>9525</xdr:rowOff>
        </xdr:from>
        <xdr:to>
          <xdr:col>3</xdr:col>
          <xdr:colOff>447675</xdr:colOff>
          <xdr:row>103</xdr:row>
          <xdr:rowOff>0</xdr:rowOff>
        </xdr:to>
        <xdr:sp macro="" textlink="">
          <xdr:nvSpPr>
            <xdr:cNvPr id="7257" name="Label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0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Patient Response: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0</xdr:rowOff>
        </xdr:from>
        <xdr:to>
          <xdr:col>7</xdr:col>
          <xdr:colOff>0</xdr:colOff>
          <xdr:row>103</xdr:row>
          <xdr:rowOff>9525</xdr:rowOff>
        </xdr:to>
        <xdr:sp macro="" textlink="">
          <xdr:nvSpPr>
            <xdr:cNvPr id="7258" name="Drop Dow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0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207065</xdr:colOff>
          <xdr:row>52</xdr:row>
          <xdr:rowOff>0</xdr:rowOff>
        </xdr:from>
        <xdr:to>
          <xdr:col>5</xdr:col>
          <xdr:colOff>0</xdr:colOff>
          <xdr:row>53</xdr:row>
          <xdr:rowOff>9525</xdr:rowOff>
        </xdr:to>
        <xdr:sp macro="" textlink="">
          <xdr:nvSpPr>
            <xdr:cNvPr id="7260" name="Drop Down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105</xdr:row>
          <xdr:rowOff>0</xdr:rowOff>
        </xdr:from>
        <xdr:to>
          <xdr:col>7</xdr:col>
          <xdr:colOff>0</xdr:colOff>
          <xdr:row>112</xdr:row>
          <xdr:rowOff>0</xdr:rowOff>
        </xdr:to>
        <xdr:sp macro="" textlink="">
          <xdr:nvSpPr>
            <xdr:cNvPr id="7261" name="Group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0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Internally Perceived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106</xdr:row>
          <xdr:rowOff>0</xdr:rowOff>
        </xdr:from>
        <xdr:to>
          <xdr:col>6</xdr:col>
          <xdr:colOff>361950</xdr:colOff>
          <xdr:row>107</xdr:row>
          <xdr:rowOff>28575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0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oneness, connectedness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107</xdr:row>
          <xdr:rowOff>0</xdr:rowOff>
        </xdr:from>
        <xdr:to>
          <xdr:col>6</xdr:col>
          <xdr:colOff>361950</xdr:colOff>
          <xdr:row>108</xdr:row>
          <xdr:rowOff>28575</xdr:rowOff>
        </xdr:to>
        <xdr:sp macro="" textlink="">
          <xdr:nvSpPr>
            <xdr:cNvPr id="7263" name="Check Box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0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fogiveness, peace, life satisfaction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108</xdr:row>
          <xdr:rowOff>19050</xdr:rowOff>
        </xdr:from>
        <xdr:to>
          <xdr:col>6</xdr:col>
          <xdr:colOff>361950</xdr:colOff>
          <xdr:row>109</xdr:row>
          <xdr:rowOff>0</xdr:rowOff>
        </xdr:to>
        <xdr:sp macro="" textlink="">
          <xdr:nvSpPr>
            <xdr:cNvPr id="7264" name="Check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0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the precense/connectedness with a higher being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109</xdr:row>
          <xdr:rowOff>0</xdr:rowOff>
        </xdr:from>
        <xdr:to>
          <xdr:col>6</xdr:col>
          <xdr:colOff>361950</xdr:colOff>
          <xdr:row>110</xdr:row>
          <xdr:rowOff>28575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0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Religion-specific figures/experiences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110</xdr:row>
          <xdr:rowOff>0</xdr:rowOff>
        </xdr:from>
        <xdr:to>
          <xdr:col>6</xdr:col>
          <xdr:colOff>361950</xdr:colOff>
          <xdr:row>111</xdr:row>
          <xdr:rowOff>28575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0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Feeling of readiness to let go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112</xdr:row>
      <xdr:rowOff>182217</xdr:rowOff>
    </xdr:from>
    <xdr:to>
      <xdr:col>8</xdr:col>
      <xdr:colOff>1998</xdr:colOff>
      <xdr:row>131</xdr:row>
      <xdr:rowOff>1571</xdr:rowOff>
    </xdr:to>
    <xdr:sp macro="" textlink="">
      <xdr:nvSpPr>
        <xdr:cNvPr id="7268" name="Group Box 100" hidden="1">
          <a:extLst>
            <a:ext uri="{63B3BB69-23CF-44E3-9099-C40C66FF867C}">
              <a14:compatExt xmlns:a14="http://schemas.microsoft.com/office/drawing/2010/main" spid="_x0000_s7268"/>
            </a:ext>
            <a:ext uri="{FF2B5EF4-FFF2-40B4-BE49-F238E27FC236}">
              <a16:creationId xmlns:a16="http://schemas.microsoft.com/office/drawing/2014/main" id="{00000000-0008-0000-0000-00006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vertOverflow="clip" wrap="non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Experience Description</a:t>
          </a:r>
        </a:p>
      </xdr:txBody>
    </xdr:sp>
    <xdr:clientData/>
  </xdr:twoCellAnchor>
  <xdr:twoCellAnchor>
    <xdr:from>
      <xdr:col>2</xdr:col>
      <xdr:colOff>0</xdr:colOff>
      <xdr:row>113</xdr:row>
      <xdr:rowOff>182218</xdr:rowOff>
    </xdr:from>
    <xdr:to>
      <xdr:col>3</xdr:col>
      <xdr:colOff>322384</xdr:colOff>
      <xdr:row>115</xdr:row>
      <xdr:rowOff>124240</xdr:rowOff>
    </xdr:to>
    <xdr:sp macro="" textlink="">
      <xdr:nvSpPr>
        <xdr:cNvPr id="7269" name="Label 101" hidden="1">
          <a:extLst>
            <a:ext uri="{63B3BB69-23CF-44E3-9099-C40C66FF867C}">
              <a14:compatExt xmlns:a14="http://schemas.microsoft.com/office/drawing/2010/main" spid="_x0000_s7269"/>
            </a:ext>
            <a:ext uri="{FF2B5EF4-FFF2-40B4-BE49-F238E27FC236}">
              <a16:creationId xmlns:a16="http://schemas.microsoft.com/office/drawing/2014/main" id="{00000000-0008-0000-0000-000065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Days Before Death 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(Start)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115</xdr:row>
          <xdr:rowOff>190500</xdr:rowOff>
        </xdr:from>
        <xdr:to>
          <xdr:col>3</xdr:col>
          <xdr:colOff>342900</xdr:colOff>
          <xdr:row>117</xdr:row>
          <xdr:rowOff>9525</xdr:rowOff>
        </xdr:to>
        <xdr:sp macro="" textlink="">
          <xdr:nvSpPr>
            <xdr:cNvPr id="7270" name="Label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0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Length of Episode: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116</xdr:row>
          <xdr:rowOff>19050</xdr:rowOff>
        </xdr:from>
        <xdr:to>
          <xdr:col>5</xdr:col>
          <xdr:colOff>352425</xdr:colOff>
          <xdr:row>117</xdr:row>
          <xdr:rowOff>38100</xdr:rowOff>
        </xdr:to>
        <xdr:sp macro="" textlink="">
          <xdr:nvSpPr>
            <xdr:cNvPr id="7278" name="Label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0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33131</xdr:colOff>
      <xdr:row>116</xdr:row>
      <xdr:rowOff>16564</xdr:rowOff>
    </xdr:from>
    <xdr:to>
      <xdr:col>7</xdr:col>
      <xdr:colOff>443949</xdr:colOff>
      <xdr:row>117</xdr:row>
      <xdr:rowOff>35614</xdr:rowOff>
    </xdr:to>
    <xdr:sp macro="" textlink="">
      <xdr:nvSpPr>
        <xdr:cNvPr id="7279" name="Label 111" hidden="1">
          <a:extLst>
            <a:ext uri="{63B3BB69-23CF-44E3-9099-C40C66FF867C}">
              <a14:compatExt xmlns:a14="http://schemas.microsoft.com/office/drawing/2010/main" spid="_x0000_s7279"/>
            </a:ext>
            <a:ext uri="{FF2B5EF4-FFF2-40B4-BE49-F238E27FC236}">
              <a16:creationId xmlns:a16="http://schemas.microsoft.com/office/drawing/2014/main" id="{00000000-0008-0000-0000-00006F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Hours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117</xdr:row>
          <xdr:rowOff>180975</xdr:rowOff>
        </xdr:from>
        <xdr:to>
          <xdr:col>4</xdr:col>
          <xdr:colOff>0</xdr:colOff>
          <xdr:row>118</xdr:row>
          <xdr:rowOff>190500</xdr:rowOff>
        </xdr:to>
        <xdr:sp macro="" textlink="">
          <xdr:nvSpPr>
            <xdr:cNvPr id="7280" name="Label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0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Episode Narrative: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194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7288" name="Button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0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194</xdr:row>
          <xdr:rowOff>0</xdr:rowOff>
        </xdr:from>
        <xdr:to>
          <xdr:col>7</xdr:col>
          <xdr:colOff>0</xdr:colOff>
          <xdr:row>197</xdr:row>
          <xdr:rowOff>0</xdr:rowOff>
        </xdr:to>
        <xdr:sp macro="" textlink="">
          <xdr:nvSpPr>
            <xdr:cNvPr id="7291" name="Button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0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123</xdr:row>
          <xdr:rowOff>180975</xdr:rowOff>
        </xdr:from>
        <xdr:to>
          <xdr:col>3</xdr:col>
          <xdr:colOff>0</xdr:colOff>
          <xdr:row>124</xdr:row>
          <xdr:rowOff>180975</xdr:rowOff>
        </xdr:to>
        <xdr:sp macro="" textlink="">
          <xdr:nvSpPr>
            <xdr:cNvPr id="7296" name="Label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0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 Notes: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190</xdr:row>
          <xdr:rowOff>0</xdr:rowOff>
        </xdr:from>
        <xdr:to>
          <xdr:col>6</xdr:col>
          <xdr:colOff>0</xdr:colOff>
          <xdr:row>193</xdr:row>
          <xdr:rowOff>0</xdr:rowOff>
        </xdr:to>
        <xdr:sp macro="" textlink="">
          <xdr:nvSpPr>
            <xdr:cNvPr id="7298" name="Group Box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0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Submitter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191</xdr:row>
          <xdr:rowOff>0</xdr:rowOff>
        </xdr:from>
        <xdr:to>
          <xdr:col>5</xdr:col>
          <xdr:colOff>419100</xdr:colOff>
          <xdr:row>192</xdr:row>
          <xdr:rowOff>9525</xdr:rowOff>
        </xdr:to>
        <xdr:sp macro="" textlink="">
          <xdr:nvSpPr>
            <xdr:cNvPr id="7299" name="Drop Down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0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93</xdr:row>
          <xdr:rowOff>0</xdr:rowOff>
        </xdr:from>
        <xdr:to>
          <xdr:col>3</xdr:col>
          <xdr:colOff>409575</xdr:colOff>
          <xdr:row>94</xdr:row>
          <xdr:rowOff>161925</xdr:rowOff>
        </xdr:to>
        <xdr:sp macro="" textlink="">
          <xdr:nvSpPr>
            <xdr:cNvPr id="7300" name="Label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0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If Other, Describe: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153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7302" name="Group Box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0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154</xdr:row>
          <xdr:rowOff>0</xdr:rowOff>
        </xdr:from>
        <xdr:to>
          <xdr:col>5</xdr:col>
          <xdr:colOff>66675</xdr:colOff>
          <xdr:row>155</xdr:row>
          <xdr:rowOff>0</xdr:rowOff>
        </xdr:to>
        <xdr:sp macro="" textlink="">
          <xdr:nvSpPr>
            <xdr:cNvPr id="7303" name="Drop Down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0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147</xdr:row>
          <xdr:rowOff>0</xdr:rowOff>
        </xdr:from>
        <xdr:to>
          <xdr:col>8</xdr:col>
          <xdr:colOff>0</xdr:colOff>
          <xdr:row>152</xdr:row>
          <xdr:rowOff>0</xdr:rowOff>
        </xdr:to>
        <xdr:sp macro="" textlink="">
          <xdr:nvSpPr>
            <xdr:cNvPr id="7304" name="Group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0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Notable Lab Results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162</xdr:row>
          <xdr:rowOff>0</xdr:rowOff>
        </xdr:from>
        <xdr:to>
          <xdr:col>3</xdr:col>
          <xdr:colOff>400050</xdr:colOff>
          <xdr:row>163</xdr:row>
          <xdr:rowOff>0</xdr:rowOff>
        </xdr:to>
        <xdr:sp macro="" textlink="">
          <xdr:nvSpPr>
            <xdr:cNvPr id="7305" name="Label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0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Eye Opening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164</xdr:row>
          <xdr:rowOff>0</xdr:rowOff>
        </xdr:from>
        <xdr:to>
          <xdr:col>3</xdr:col>
          <xdr:colOff>0</xdr:colOff>
          <xdr:row>165</xdr:row>
          <xdr:rowOff>0</xdr:rowOff>
        </xdr:to>
        <xdr:sp macro="" textlink="">
          <xdr:nvSpPr>
            <xdr:cNvPr id="7306" name="Label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0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Verbal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166</xdr:row>
          <xdr:rowOff>0</xdr:rowOff>
        </xdr:from>
        <xdr:to>
          <xdr:col>3</xdr:col>
          <xdr:colOff>400050</xdr:colOff>
          <xdr:row>167</xdr:row>
          <xdr:rowOff>0</xdr:rowOff>
        </xdr:to>
        <xdr:sp macro="" textlink="">
          <xdr:nvSpPr>
            <xdr:cNvPr id="7307" name="Label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0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Motor Response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7308" name="Drop Down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0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180975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7309" name="Drop Down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0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180975</xdr:rowOff>
        </xdr:from>
        <xdr:to>
          <xdr:col>6</xdr:col>
          <xdr:colOff>0</xdr:colOff>
          <xdr:row>167</xdr:row>
          <xdr:rowOff>0</xdr:rowOff>
        </xdr:to>
        <xdr:sp macro="" textlink="">
          <xdr:nvSpPr>
            <xdr:cNvPr id="7310" name="Drop Down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0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174</xdr:row>
          <xdr:rowOff>0</xdr:rowOff>
        </xdr:from>
        <xdr:to>
          <xdr:col>8</xdr:col>
          <xdr:colOff>0</xdr:colOff>
          <xdr:row>175</xdr:row>
          <xdr:rowOff>0</xdr:rowOff>
        </xdr:to>
        <xdr:sp macro="" textlink="">
          <xdr:nvSpPr>
            <xdr:cNvPr id="7314" name="Drop Down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0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177</xdr:row>
          <xdr:rowOff>180975</xdr:rowOff>
        </xdr:from>
        <xdr:to>
          <xdr:col>8</xdr:col>
          <xdr:colOff>0</xdr:colOff>
          <xdr:row>179</xdr:row>
          <xdr:rowOff>0</xdr:rowOff>
        </xdr:to>
        <xdr:sp macro="" textlink="">
          <xdr:nvSpPr>
            <xdr:cNvPr id="7315" name="Drop Down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0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182</xdr:row>
          <xdr:rowOff>0</xdr:rowOff>
        </xdr:from>
        <xdr:to>
          <xdr:col>3</xdr:col>
          <xdr:colOff>400050</xdr:colOff>
          <xdr:row>183</xdr:row>
          <xdr:rowOff>28575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0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Person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183</xdr:row>
          <xdr:rowOff>0</xdr:rowOff>
        </xdr:from>
        <xdr:to>
          <xdr:col>3</xdr:col>
          <xdr:colOff>200025</xdr:colOff>
          <xdr:row>184</xdr:row>
          <xdr:rowOff>28575</xdr:rowOff>
        </xdr:to>
        <xdr:sp macro="" textlink="">
          <xdr:nvSpPr>
            <xdr:cNvPr id="7317" name="Check Box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0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Place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184</xdr:row>
          <xdr:rowOff>0</xdr:rowOff>
        </xdr:from>
        <xdr:to>
          <xdr:col>3</xdr:col>
          <xdr:colOff>400050</xdr:colOff>
          <xdr:row>185</xdr:row>
          <xdr:rowOff>28575</xdr:rowOff>
        </xdr:to>
        <xdr:sp macro="" textlink="">
          <xdr:nvSpPr>
            <xdr:cNvPr id="7318" name="Check Box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0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185</xdr:row>
          <xdr:rowOff>0</xdr:rowOff>
        </xdr:from>
        <xdr:to>
          <xdr:col>3</xdr:col>
          <xdr:colOff>400050</xdr:colOff>
          <xdr:row>186</xdr:row>
          <xdr:rowOff>28575</xdr:rowOff>
        </xdr:to>
        <xdr:sp macro="" textlink="">
          <xdr:nvSpPr>
            <xdr:cNvPr id="7319" name="Check Box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0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Event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187</xdr:row>
          <xdr:rowOff>0</xdr:rowOff>
        </xdr:from>
        <xdr:to>
          <xdr:col>3</xdr:col>
          <xdr:colOff>0</xdr:colOff>
          <xdr:row>188</xdr:row>
          <xdr:rowOff>0</xdr:rowOff>
        </xdr:to>
        <xdr:sp macro="" textlink="">
          <xdr:nvSpPr>
            <xdr:cNvPr id="7320" name="Label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0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134</xdr:row>
          <xdr:rowOff>0</xdr:rowOff>
        </xdr:from>
        <xdr:to>
          <xdr:col>9</xdr:col>
          <xdr:colOff>4482</xdr:colOff>
          <xdr:row>146</xdr:row>
          <xdr:rowOff>0</xdr:rowOff>
        </xdr:to>
        <xdr:sp macro="" textlink="">
          <xdr:nvSpPr>
            <xdr:cNvPr id="7321" name="Group Box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0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Symptoms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135</xdr:row>
          <xdr:rowOff>0</xdr:rowOff>
        </xdr:from>
        <xdr:to>
          <xdr:col>3</xdr:col>
          <xdr:colOff>581025</xdr:colOff>
          <xdr:row>136</xdr:row>
          <xdr:rowOff>28575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0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Generalized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136</xdr:row>
          <xdr:rowOff>0</xdr:rowOff>
        </xdr:from>
        <xdr:to>
          <xdr:col>3</xdr:col>
          <xdr:colOff>581025</xdr:colOff>
          <xdr:row>137</xdr:row>
          <xdr:rowOff>28575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0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Pain - Localized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136</xdr:row>
          <xdr:rowOff>180975</xdr:rowOff>
        </xdr:from>
        <xdr:to>
          <xdr:col>3</xdr:col>
          <xdr:colOff>581025</xdr:colOff>
          <xdr:row>138</xdr:row>
          <xdr:rowOff>19050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0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137</xdr:row>
          <xdr:rowOff>180975</xdr:rowOff>
        </xdr:from>
        <xdr:to>
          <xdr:col>3</xdr:col>
          <xdr:colOff>581025</xdr:colOff>
          <xdr:row>139</xdr:row>
          <xdr:rowOff>19050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0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Incontinence of Bowels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138</xdr:row>
          <xdr:rowOff>180975</xdr:rowOff>
        </xdr:from>
        <xdr:to>
          <xdr:col>3</xdr:col>
          <xdr:colOff>581025</xdr:colOff>
          <xdr:row>140</xdr:row>
          <xdr:rowOff>19050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0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Urinary Retention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139</xdr:row>
          <xdr:rowOff>171450</xdr:rowOff>
        </xdr:from>
        <xdr:to>
          <xdr:col>3</xdr:col>
          <xdr:colOff>581025</xdr:colOff>
          <xdr:row>141</xdr:row>
          <xdr:rowOff>9525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0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Nausea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140</xdr:row>
          <xdr:rowOff>171450</xdr:rowOff>
        </xdr:from>
        <xdr:to>
          <xdr:col>3</xdr:col>
          <xdr:colOff>581025</xdr:colOff>
          <xdr:row>142</xdr:row>
          <xdr:rowOff>9525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0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Vomiting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141</xdr:row>
          <xdr:rowOff>171450</xdr:rowOff>
        </xdr:from>
        <xdr:to>
          <xdr:col>3</xdr:col>
          <xdr:colOff>581025</xdr:colOff>
          <xdr:row>143</xdr:row>
          <xdr:rowOff>9525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0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Diarrhea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142</xdr:row>
          <xdr:rowOff>161925</xdr:rowOff>
        </xdr:from>
        <xdr:to>
          <xdr:col>3</xdr:col>
          <xdr:colOff>581025</xdr:colOff>
          <xdr:row>144</xdr:row>
          <xdr:rowOff>0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0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Constipation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143</xdr:row>
          <xdr:rowOff>161925</xdr:rowOff>
        </xdr:from>
        <xdr:to>
          <xdr:col>3</xdr:col>
          <xdr:colOff>581025</xdr:colOff>
          <xdr:row>145</xdr:row>
          <xdr:rowOff>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0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Shortness of Breath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135</xdr:row>
          <xdr:rowOff>0</xdr:rowOff>
        </xdr:from>
        <xdr:to>
          <xdr:col>6</xdr:col>
          <xdr:colOff>114300</xdr:colOff>
          <xdr:row>136</xdr:row>
          <xdr:rowOff>28575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0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Airway Clearance Difficulty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136</xdr:row>
          <xdr:rowOff>0</xdr:rowOff>
        </xdr:from>
        <xdr:to>
          <xdr:col>6</xdr:col>
          <xdr:colOff>114300</xdr:colOff>
          <xdr:row>137</xdr:row>
          <xdr:rowOff>28575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0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Confusion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136</xdr:row>
          <xdr:rowOff>180975</xdr:rowOff>
        </xdr:from>
        <xdr:to>
          <xdr:col>6</xdr:col>
          <xdr:colOff>114300</xdr:colOff>
          <xdr:row>138</xdr:row>
          <xdr:rowOff>19050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0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Drowsiness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137</xdr:row>
          <xdr:rowOff>180975</xdr:rowOff>
        </xdr:from>
        <xdr:to>
          <xdr:col>6</xdr:col>
          <xdr:colOff>114300</xdr:colOff>
          <xdr:row>139</xdr:row>
          <xdr:rowOff>19050</xdr:rowOff>
        </xdr:to>
        <xdr:sp macro="" textlink="">
          <xdr:nvSpPr>
            <xdr:cNvPr id="7335" name="Check Box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0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Cough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138</xdr:row>
          <xdr:rowOff>180975</xdr:rowOff>
        </xdr:from>
        <xdr:to>
          <xdr:col>6</xdr:col>
          <xdr:colOff>114300</xdr:colOff>
          <xdr:row>140</xdr:row>
          <xdr:rowOff>19050</xdr:rowOff>
        </xdr:to>
        <xdr:sp macro="" textlink="">
          <xdr:nvSpPr>
            <xdr:cNvPr id="7336" name="Check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0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Wheezing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139</xdr:row>
          <xdr:rowOff>171450</xdr:rowOff>
        </xdr:from>
        <xdr:to>
          <xdr:col>6</xdr:col>
          <xdr:colOff>114300</xdr:colOff>
          <xdr:row>141</xdr:row>
          <xdr:rowOff>9525</xdr:rowOff>
        </xdr:to>
        <xdr:sp macro="" textlink="">
          <xdr:nvSpPr>
            <xdr:cNvPr id="7337" name="Check Box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0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Palpitations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140</xdr:row>
          <xdr:rowOff>171450</xdr:rowOff>
        </xdr:from>
        <xdr:to>
          <xdr:col>6</xdr:col>
          <xdr:colOff>114300</xdr:colOff>
          <xdr:row>142</xdr:row>
          <xdr:rowOff>9525</xdr:rowOff>
        </xdr:to>
        <xdr:sp macro="" textlink="">
          <xdr:nvSpPr>
            <xdr:cNvPr id="7338" name="Check Box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0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Tachycardia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141</xdr:row>
          <xdr:rowOff>171450</xdr:rowOff>
        </xdr:from>
        <xdr:to>
          <xdr:col>6</xdr:col>
          <xdr:colOff>114300</xdr:colOff>
          <xdr:row>143</xdr:row>
          <xdr:rowOff>9525</xdr:rowOff>
        </xdr:to>
        <xdr:sp macro="" textlink="">
          <xdr:nvSpPr>
            <xdr:cNvPr id="7339" name="Check Box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0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Bradycardia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142</xdr:row>
          <xdr:rowOff>161925</xdr:rowOff>
        </xdr:from>
        <xdr:to>
          <xdr:col>6</xdr:col>
          <xdr:colOff>114300</xdr:colOff>
          <xdr:row>144</xdr:row>
          <xdr:rowOff>0</xdr:rowOff>
        </xdr:to>
        <xdr:sp macro="" textlink="">
          <xdr:nvSpPr>
            <xdr:cNvPr id="7340" name="Check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0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Hypertension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143</xdr:row>
          <xdr:rowOff>161925</xdr:rowOff>
        </xdr:from>
        <xdr:to>
          <xdr:col>6</xdr:col>
          <xdr:colOff>114300</xdr:colOff>
          <xdr:row>145</xdr:row>
          <xdr:rowOff>0</xdr:rowOff>
        </xdr:to>
        <xdr:sp macro="" textlink="">
          <xdr:nvSpPr>
            <xdr:cNvPr id="7341" name="Check Box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0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Hypotension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135</xdr:row>
          <xdr:rowOff>0</xdr:rowOff>
        </xdr:from>
        <xdr:to>
          <xdr:col>9</xdr:col>
          <xdr:colOff>0</xdr:colOff>
          <xdr:row>136</xdr:row>
          <xdr:rowOff>28575</xdr:rowOff>
        </xdr:to>
        <xdr:sp macro="" textlink="">
          <xdr:nvSpPr>
            <xdr:cNvPr id="7342" name="Check Box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0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(severe)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135</xdr:row>
          <xdr:rowOff>180975</xdr:rowOff>
        </xdr:from>
        <xdr:to>
          <xdr:col>9</xdr:col>
          <xdr:colOff>0</xdr:colOff>
          <xdr:row>137</xdr:row>
          <xdr:rowOff>19050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0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Cognitive Impairment (mild)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136</xdr:row>
          <xdr:rowOff>180975</xdr:rowOff>
        </xdr:from>
        <xdr:to>
          <xdr:col>8</xdr:col>
          <xdr:colOff>200025</xdr:colOff>
          <xdr:row>138</xdr:row>
          <xdr:rowOff>19050</xdr:rowOff>
        </xdr:to>
        <xdr:sp macro="" textlink="">
          <xdr:nvSpPr>
            <xdr:cNvPr id="7344" name="Check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0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Weakness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137</xdr:row>
          <xdr:rowOff>171450</xdr:rowOff>
        </xdr:from>
        <xdr:to>
          <xdr:col>8</xdr:col>
          <xdr:colOff>200025</xdr:colOff>
          <xdr:row>139</xdr:row>
          <xdr:rowOff>9525</xdr:rowOff>
        </xdr:to>
        <xdr:sp macro="" textlink="">
          <xdr:nvSpPr>
            <xdr:cNvPr id="7345" name="Check Box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0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138</xdr:row>
          <xdr:rowOff>171450</xdr:rowOff>
        </xdr:from>
        <xdr:to>
          <xdr:col>8</xdr:col>
          <xdr:colOff>200025</xdr:colOff>
          <xdr:row>140</xdr:row>
          <xdr:rowOff>9525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0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Anorexia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139</xdr:row>
          <xdr:rowOff>161925</xdr:rowOff>
        </xdr:from>
        <xdr:to>
          <xdr:col>8</xdr:col>
          <xdr:colOff>200025</xdr:colOff>
          <xdr:row>141</xdr:row>
          <xdr:rowOff>0</xdr:rowOff>
        </xdr:to>
        <xdr:sp macro="" textlink="">
          <xdr:nvSpPr>
            <xdr:cNvPr id="7347" name="Check Box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0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Adipsia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140</xdr:row>
          <xdr:rowOff>161925</xdr:rowOff>
        </xdr:from>
        <xdr:to>
          <xdr:col>8</xdr:col>
          <xdr:colOff>200025</xdr:colOff>
          <xdr:row>142</xdr:row>
          <xdr:rowOff>0</xdr:rowOff>
        </xdr:to>
        <xdr:sp macro="" textlink="">
          <xdr:nvSpPr>
            <xdr:cNvPr id="7348" name="Check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0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Agitation/Restlessness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173</xdr:row>
          <xdr:rowOff>0</xdr:rowOff>
        </xdr:from>
        <xdr:to>
          <xdr:col>9</xdr:col>
          <xdr:colOff>0</xdr:colOff>
          <xdr:row>180</xdr:row>
          <xdr:rowOff>0</xdr:rowOff>
        </xdr:to>
        <xdr:sp macro="" textlink="">
          <xdr:nvSpPr>
            <xdr:cNvPr id="7349" name="Group Box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0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175</xdr:row>
          <xdr:rowOff>180975</xdr:rowOff>
        </xdr:from>
        <xdr:to>
          <xdr:col>8</xdr:col>
          <xdr:colOff>0</xdr:colOff>
          <xdr:row>177</xdr:row>
          <xdr:rowOff>0</xdr:rowOff>
        </xdr:to>
        <xdr:sp macro="" textlink="">
          <xdr:nvSpPr>
            <xdr:cNvPr id="7350" name="Drop Down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0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161</xdr:row>
          <xdr:rowOff>0</xdr:rowOff>
        </xdr:from>
        <xdr:to>
          <xdr:col>7</xdr:col>
          <xdr:colOff>0</xdr:colOff>
          <xdr:row>172</xdr:row>
          <xdr:rowOff>0</xdr:rowOff>
        </xdr:to>
        <xdr:sp macro="" textlink="">
          <xdr:nvSpPr>
            <xdr:cNvPr id="7352" name="Group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0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Glasgow Coma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169</xdr:row>
          <xdr:rowOff>0</xdr:rowOff>
        </xdr:from>
        <xdr:to>
          <xdr:col>3</xdr:col>
          <xdr:colOff>400050</xdr:colOff>
          <xdr:row>170</xdr:row>
          <xdr:rowOff>0</xdr:rowOff>
        </xdr:to>
        <xdr:sp macro="" textlink="">
          <xdr:nvSpPr>
            <xdr:cNvPr id="7353" name="Label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0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Score: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181</xdr:row>
          <xdr:rowOff>0</xdr:rowOff>
        </xdr:from>
        <xdr:to>
          <xdr:col>5</xdr:col>
          <xdr:colOff>0</xdr:colOff>
          <xdr:row>188</xdr:row>
          <xdr:rowOff>0</xdr:rowOff>
        </xdr:to>
        <xdr:sp macro="" textlink="">
          <xdr:nvSpPr>
            <xdr:cNvPr id="7354" name="Group Box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0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367" name="Group Box 19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000-0000C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Patient Demographics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10</xdr:col>
          <xdr:colOff>0</xdr:colOff>
          <xdr:row>82</xdr:row>
          <xdr:rowOff>0</xdr:rowOff>
        </xdr:to>
        <xdr:sp macro="" textlink="">
          <xdr:nvSpPr>
            <xdr:cNvPr id="7368" name="Group Box 20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000-0000C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9</xdr:col>
          <xdr:colOff>0</xdr:colOff>
          <xdr:row>132</xdr:row>
          <xdr:rowOff>0</xdr:rowOff>
        </xdr:to>
        <xdr:sp macro="" textlink="">
          <xdr:nvSpPr>
            <xdr:cNvPr id="7369" name="Group Box 201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000-0000C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133</xdr:row>
          <xdr:rowOff>0</xdr:rowOff>
        </xdr:from>
        <xdr:to>
          <xdr:col>10</xdr:col>
          <xdr:colOff>0</xdr:colOff>
          <xdr:row>189</xdr:row>
          <xdr:rowOff>0</xdr:rowOff>
        </xdr:to>
        <xdr:sp macro="" textlink="">
          <xdr:nvSpPr>
            <xdr:cNvPr id="7370" name="Group Box 202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000-0000C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Post-Experience Evaluation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174</xdr:row>
          <xdr:rowOff>0</xdr:rowOff>
        </xdr:from>
        <xdr:to>
          <xdr:col>3</xdr:col>
          <xdr:colOff>400050</xdr:colOff>
          <xdr:row>175</xdr:row>
          <xdr:rowOff>0</xdr:rowOff>
        </xdr:to>
        <xdr:sp macro="" textlink="">
          <xdr:nvSpPr>
            <xdr:cNvPr id="7374" name="Label 206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000-0000C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Long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176</xdr:row>
          <xdr:rowOff>9525</xdr:rowOff>
        </xdr:from>
        <xdr:to>
          <xdr:col>3</xdr:col>
          <xdr:colOff>0</xdr:colOff>
          <xdr:row>177</xdr:row>
          <xdr:rowOff>9525</xdr:rowOff>
        </xdr:to>
        <xdr:sp macro="" textlink="">
          <xdr:nvSpPr>
            <xdr:cNvPr id="7375" name="Label 207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000-0000C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Short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178</xdr:row>
          <xdr:rowOff>0</xdr:rowOff>
        </xdr:from>
        <xdr:to>
          <xdr:col>3</xdr:col>
          <xdr:colOff>400050</xdr:colOff>
          <xdr:row>179</xdr:row>
          <xdr:rowOff>0</xdr:rowOff>
        </xdr:to>
        <xdr:sp macro="" textlink="">
          <xdr:nvSpPr>
            <xdr:cNvPr id="7376" name="Label 208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000-0000D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Recall Speed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324970</xdr:colOff>
          <xdr:row>158</xdr:row>
          <xdr:rowOff>1</xdr:rowOff>
        </xdr:from>
        <xdr:to>
          <xdr:col>5</xdr:col>
          <xdr:colOff>268940</xdr:colOff>
          <xdr:row>159</xdr:row>
          <xdr:rowOff>0</xdr:rowOff>
        </xdr:to>
        <xdr:sp macro="" textlink="">
          <xdr:nvSpPr>
            <xdr:cNvPr id="7384" name="Drop Down 21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0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7385" name="Group Box 217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76912C9B-1B90-48FD-C1FB-A1F788519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113</xdr:row>
          <xdr:rowOff>0</xdr:rowOff>
        </xdr:from>
        <xdr:to>
          <xdr:col>8</xdr:col>
          <xdr:colOff>0</xdr:colOff>
          <xdr:row>131</xdr:row>
          <xdr:rowOff>0</xdr:rowOff>
        </xdr:to>
        <xdr:sp macro="" textlink="">
          <xdr:nvSpPr>
            <xdr:cNvPr id="7386" name="Group Box 218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9F27A671-490F-1E66-F575-FBF3B3548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Experience Descirption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114</xdr:row>
          <xdr:rowOff>0</xdr:rowOff>
        </xdr:from>
        <xdr:to>
          <xdr:col>3</xdr:col>
          <xdr:colOff>342900</xdr:colOff>
          <xdr:row>115</xdr:row>
          <xdr:rowOff>9525</xdr:rowOff>
        </xdr:to>
        <xdr:sp macro="" textlink="">
          <xdr:nvSpPr>
            <xdr:cNvPr id="7387" name="Label 219" hidden="1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B0E0868A-8FF0-ADC2-4773-21A8C2AEA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 Before Death: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52667</xdr:colOff>
          <xdr:row>114</xdr:row>
          <xdr:rowOff>14568</xdr:rowOff>
        </xdr:from>
        <xdr:to>
          <xdr:col>5</xdr:col>
          <xdr:colOff>347942</xdr:colOff>
          <xdr:row>115</xdr:row>
          <xdr:rowOff>33618</xdr:rowOff>
        </xdr:to>
        <xdr:sp macro="" textlink="">
          <xdr:nvSpPr>
            <xdr:cNvPr id="7388" name="Label 220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98E15EF6-5186-F82F-7C8B-1055C17D5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41461</xdr:colOff>
          <xdr:row>116</xdr:row>
          <xdr:rowOff>14568</xdr:rowOff>
        </xdr:from>
        <xdr:to>
          <xdr:col>7</xdr:col>
          <xdr:colOff>336736</xdr:colOff>
          <xdr:row>117</xdr:row>
          <xdr:rowOff>33618</xdr:rowOff>
        </xdr:to>
        <xdr:sp macro="" textlink="">
          <xdr:nvSpPr>
            <xdr:cNvPr id="7389" name="Label 221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BC8390DC-7984-F60D-2B60-CA6D5A43C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Hours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157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7390" name="Group Box 222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445791A7-4FE2-8062-CAC3-E02D61255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Level of Interaction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51153-7182-4CC6-A17F-1C6A9404E815}">
  <sheetPr codeName="Sheet6"/>
  <dimension ref="A1:AA193"/>
  <sheetViews>
    <sheetView tabSelected="1" zoomScale="175" zoomScaleNormal="175" workbookViewId="0"/>
  </sheetViews>
  <sheetFormatPr defaultColWidth="9.140625" defaultRowHeight="15" x14ac:dyDescent="0.25"/>
  <cols>
    <col min="1" max="8" width="9.140625" customWidth="1"/>
    <col min="13" max="15" width="28.7109375" customWidth="1"/>
    <col min="16" max="16" width="23.85546875" customWidth="1"/>
    <col min="20" max="20" width="9.140625" style="4"/>
  </cols>
  <sheetData>
    <row r="1" spans="2:27" x14ac:dyDescent="0.25">
      <c r="M1" t="s">
        <v>26</v>
      </c>
      <c r="N1">
        <v>0</v>
      </c>
      <c r="O1">
        <v>0</v>
      </c>
      <c r="P1">
        <f>IFERROR(IF(O1=0,0,INDEX(Options!A3:A4,Report!O1)),"")</f>
        <v>0</v>
      </c>
      <c r="T1" s="4">
        <v>0</v>
      </c>
      <c r="AA1">
        <v>1</v>
      </c>
    </row>
    <row r="2" spans="2:27" x14ac:dyDescent="0.25">
      <c r="B2" s="6"/>
      <c r="C2" s="6"/>
      <c r="D2" s="6"/>
      <c r="E2" s="6"/>
      <c r="F2" s="6"/>
      <c r="G2" s="6"/>
      <c r="M2" t="s">
        <v>137</v>
      </c>
      <c r="N2">
        <v>0</v>
      </c>
      <c r="O2">
        <v>0</v>
      </c>
      <c r="P2">
        <f>D9</f>
        <v>0</v>
      </c>
    </row>
    <row r="3" spans="2:27" x14ac:dyDescent="0.25">
      <c r="B3" s="6"/>
      <c r="C3" s="6"/>
      <c r="D3" s="6"/>
      <c r="E3" s="6"/>
      <c r="F3" s="6"/>
      <c r="G3" s="6"/>
      <c r="M3" t="s">
        <v>27</v>
      </c>
      <c r="N3">
        <v>1</v>
      </c>
      <c r="O3">
        <v>1</v>
      </c>
      <c r="P3">
        <f>IFERROR(INDEX(Options!A121:A129,Report!O3),"error result")</f>
        <v>0</v>
      </c>
      <c r="T3" s="4">
        <v>0</v>
      </c>
    </row>
    <row r="4" spans="2:27" x14ac:dyDescent="0.25">
      <c r="B4" s="6"/>
      <c r="C4" s="7"/>
      <c r="D4" s="7"/>
      <c r="E4" s="7"/>
      <c r="F4" s="6"/>
      <c r="G4" s="6"/>
      <c r="M4" t="s">
        <v>10</v>
      </c>
      <c r="N4">
        <v>1</v>
      </c>
      <c r="O4">
        <v>1</v>
      </c>
      <c r="P4">
        <f>IFERROR(INDEX(Options!A132:A148,Report!O4),"error result")</f>
        <v>0</v>
      </c>
      <c r="T4" s="4">
        <v>0</v>
      </c>
    </row>
    <row r="5" spans="2:27" x14ac:dyDescent="0.25">
      <c r="B5" s="6"/>
      <c r="C5" s="7"/>
      <c r="D5" s="7"/>
      <c r="E5" s="7"/>
      <c r="F5" s="6"/>
      <c r="G5" s="6"/>
      <c r="M5" t="s">
        <v>158</v>
      </c>
      <c r="N5" t="b">
        <v>0</v>
      </c>
      <c r="O5" t="b">
        <v>0</v>
      </c>
      <c r="P5" t="b">
        <f>O5</f>
        <v>0</v>
      </c>
      <c r="T5" s="4" t="b">
        <v>0</v>
      </c>
    </row>
    <row r="6" spans="2:27" x14ac:dyDescent="0.25">
      <c r="B6" s="6"/>
      <c r="C6" s="7"/>
      <c r="D6" s="7"/>
      <c r="E6" s="7"/>
      <c r="F6" s="6"/>
      <c r="G6" s="6"/>
      <c r="M6" t="s">
        <v>159</v>
      </c>
      <c r="N6" t="b">
        <v>0</v>
      </c>
      <c r="O6" t="b">
        <v>0</v>
      </c>
      <c r="P6" t="b">
        <f t="shared" ref="P6:P31" si="0">O6</f>
        <v>0</v>
      </c>
      <c r="T6" s="4" t="b">
        <v>0</v>
      </c>
    </row>
    <row r="7" spans="2:27" x14ac:dyDescent="0.25">
      <c r="B7" s="6"/>
      <c r="C7" s="6"/>
      <c r="D7" s="6"/>
      <c r="E7" s="6"/>
      <c r="F7" s="6"/>
      <c r="G7" s="6"/>
      <c r="M7" t="s">
        <v>160</v>
      </c>
      <c r="N7" t="b">
        <v>0</v>
      </c>
      <c r="O7" t="b">
        <v>0</v>
      </c>
      <c r="P7" t="b">
        <f t="shared" si="0"/>
        <v>0</v>
      </c>
      <c r="T7" s="4" t="b">
        <v>0</v>
      </c>
    </row>
    <row r="8" spans="2:27" x14ac:dyDescent="0.25">
      <c r="B8" s="6"/>
      <c r="C8" s="7"/>
      <c r="D8" s="7"/>
      <c r="E8" s="7"/>
      <c r="F8" s="7"/>
      <c r="G8" s="6"/>
      <c r="M8" t="s">
        <v>161</v>
      </c>
      <c r="N8" t="b">
        <v>0</v>
      </c>
      <c r="O8" t="b">
        <v>0</v>
      </c>
      <c r="P8" t="b">
        <f>O8</f>
        <v>0</v>
      </c>
      <c r="T8" s="4" t="b">
        <v>0</v>
      </c>
    </row>
    <row r="9" spans="2:27" x14ac:dyDescent="0.25">
      <c r="B9" s="6"/>
      <c r="C9" s="7"/>
      <c r="D9" s="9"/>
      <c r="E9" s="7"/>
      <c r="F9" s="7"/>
      <c r="G9" s="6"/>
      <c r="M9" t="s">
        <v>162</v>
      </c>
      <c r="N9" t="b">
        <v>0</v>
      </c>
      <c r="O9" t="b">
        <v>0</v>
      </c>
      <c r="P9" t="b">
        <f t="shared" si="0"/>
        <v>0</v>
      </c>
      <c r="T9" s="4" t="b">
        <v>0</v>
      </c>
    </row>
    <row r="10" spans="2:27" x14ac:dyDescent="0.25">
      <c r="B10" s="6"/>
      <c r="C10" s="7"/>
      <c r="D10" s="7"/>
      <c r="E10" s="7"/>
      <c r="F10" s="7"/>
      <c r="G10" s="6"/>
      <c r="M10" t="s">
        <v>163</v>
      </c>
      <c r="N10" t="b">
        <v>0</v>
      </c>
      <c r="O10" t="b">
        <v>0</v>
      </c>
      <c r="P10" t="b">
        <f t="shared" si="0"/>
        <v>0</v>
      </c>
      <c r="T10" s="4" t="b">
        <v>0</v>
      </c>
    </row>
    <row r="11" spans="2:27" x14ac:dyDescent="0.25">
      <c r="B11" s="6"/>
      <c r="C11" s="6"/>
      <c r="D11" s="6"/>
      <c r="E11" s="6"/>
      <c r="F11" s="6"/>
      <c r="G11" s="6"/>
      <c r="M11" t="s">
        <v>164</v>
      </c>
      <c r="N11" t="b">
        <v>0</v>
      </c>
      <c r="O11" t="b">
        <v>0</v>
      </c>
      <c r="P11" t="b">
        <f t="shared" si="0"/>
        <v>0</v>
      </c>
      <c r="T11" s="4" t="b">
        <v>0</v>
      </c>
    </row>
    <row r="12" spans="2:27" x14ac:dyDescent="0.25">
      <c r="B12" s="6"/>
      <c r="C12" s="7"/>
      <c r="D12" s="7"/>
      <c r="E12" s="7"/>
      <c r="F12" s="7"/>
      <c r="G12" s="6"/>
      <c r="M12" t="s">
        <v>165</v>
      </c>
      <c r="N12" t="b">
        <v>0</v>
      </c>
      <c r="O12" t="b">
        <v>0</v>
      </c>
      <c r="P12" t="b">
        <f t="shared" si="0"/>
        <v>0</v>
      </c>
      <c r="T12" s="4" t="b">
        <v>0</v>
      </c>
    </row>
    <row r="13" spans="2:27" x14ac:dyDescent="0.25">
      <c r="B13" s="6"/>
      <c r="C13" s="7"/>
      <c r="D13" s="7"/>
      <c r="E13" s="7"/>
      <c r="F13" s="7"/>
      <c r="G13" s="6"/>
      <c r="M13" t="s">
        <v>166</v>
      </c>
      <c r="N13" t="b">
        <v>0</v>
      </c>
      <c r="O13" t="b">
        <v>0</v>
      </c>
      <c r="P13" t="b">
        <f t="shared" si="0"/>
        <v>0</v>
      </c>
      <c r="T13" s="4" t="b">
        <v>0</v>
      </c>
    </row>
    <row r="14" spans="2:27" x14ac:dyDescent="0.25">
      <c r="B14" s="6"/>
      <c r="C14" s="7"/>
      <c r="D14" s="7"/>
      <c r="E14" s="7"/>
      <c r="F14" s="7"/>
      <c r="G14" s="6"/>
      <c r="M14" t="s">
        <v>167</v>
      </c>
      <c r="N14" t="b">
        <v>0</v>
      </c>
      <c r="O14" t="b">
        <v>0</v>
      </c>
      <c r="P14" t="b">
        <f t="shared" si="0"/>
        <v>0</v>
      </c>
      <c r="T14" s="4" t="b">
        <v>0</v>
      </c>
    </row>
    <row r="15" spans="2:27" x14ac:dyDescent="0.25">
      <c r="B15" s="6"/>
      <c r="C15" s="6"/>
      <c r="D15" s="6"/>
      <c r="E15" s="6"/>
      <c r="F15" s="6"/>
      <c r="G15" s="6"/>
      <c r="M15" t="s">
        <v>168</v>
      </c>
      <c r="N15" t="b">
        <v>0</v>
      </c>
      <c r="O15" t="b">
        <v>0</v>
      </c>
      <c r="P15" t="b">
        <f t="shared" si="0"/>
        <v>0</v>
      </c>
      <c r="T15" s="4" t="b">
        <v>0</v>
      </c>
    </row>
    <row r="16" spans="2:27" x14ac:dyDescent="0.25">
      <c r="B16" s="6"/>
      <c r="C16" s="7"/>
      <c r="D16" s="7"/>
      <c r="E16" s="7"/>
      <c r="F16" s="7"/>
      <c r="G16" s="6" t="s">
        <v>150</v>
      </c>
      <c r="M16" t="s">
        <v>169</v>
      </c>
      <c r="N16" t="b">
        <v>0</v>
      </c>
      <c r="O16" t="b">
        <v>0</v>
      </c>
      <c r="P16" t="b">
        <f t="shared" si="0"/>
        <v>0</v>
      </c>
      <c r="T16" s="4" t="b">
        <v>0</v>
      </c>
    </row>
    <row r="17" spans="2:20" x14ac:dyDescent="0.25">
      <c r="B17" s="6"/>
      <c r="C17" s="7"/>
      <c r="D17" s="7"/>
      <c r="E17" s="7"/>
      <c r="F17" s="7"/>
      <c r="G17" s="6"/>
      <c r="M17" t="s">
        <v>170</v>
      </c>
      <c r="N17" t="b">
        <v>0</v>
      </c>
      <c r="O17" t="b">
        <v>0</v>
      </c>
      <c r="P17" t="b">
        <f t="shared" si="0"/>
        <v>0</v>
      </c>
      <c r="T17" s="4" t="b">
        <v>0</v>
      </c>
    </row>
    <row r="18" spans="2:20" x14ac:dyDescent="0.25">
      <c r="B18" s="6"/>
      <c r="C18" s="7"/>
      <c r="D18" s="7"/>
      <c r="E18" s="7"/>
      <c r="F18" s="7"/>
      <c r="G18" s="6"/>
      <c r="M18" t="s">
        <v>171</v>
      </c>
      <c r="N18" t="b">
        <v>0</v>
      </c>
      <c r="O18" t="b">
        <v>0</v>
      </c>
      <c r="P18" t="b">
        <f t="shared" si="0"/>
        <v>0</v>
      </c>
      <c r="T18" s="4" t="b">
        <v>0</v>
      </c>
    </row>
    <row r="19" spans="2:20" x14ac:dyDescent="0.25">
      <c r="B19" s="6"/>
      <c r="C19" s="6"/>
      <c r="D19" s="6"/>
      <c r="E19" s="6"/>
      <c r="F19" s="6"/>
      <c r="G19" s="6"/>
      <c r="M19" t="s">
        <v>172</v>
      </c>
      <c r="N19" t="b">
        <v>0</v>
      </c>
      <c r="O19" t="b">
        <v>0</v>
      </c>
      <c r="P19" t="b">
        <f t="shared" si="0"/>
        <v>0</v>
      </c>
      <c r="T19" s="4" t="b">
        <v>0</v>
      </c>
    </row>
    <row r="20" spans="2:20" x14ac:dyDescent="0.25">
      <c r="M20" t="s">
        <v>173</v>
      </c>
      <c r="N20" t="b">
        <v>0</v>
      </c>
      <c r="O20" t="b">
        <v>0</v>
      </c>
      <c r="P20" t="b">
        <f t="shared" si="0"/>
        <v>0</v>
      </c>
      <c r="T20" s="4" t="b">
        <v>0</v>
      </c>
    </row>
    <row r="21" spans="2:20" x14ac:dyDescent="0.25">
      <c r="M21" t="s">
        <v>174</v>
      </c>
      <c r="N21" t="b">
        <v>0</v>
      </c>
      <c r="O21" t="b">
        <v>0</v>
      </c>
      <c r="P21" t="b">
        <f t="shared" si="0"/>
        <v>0</v>
      </c>
      <c r="T21" s="4" t="b">
        <v>0</v>
      </c>
    </row>
    <row r="22" spans="2:20" x14ac:dyDescent="0.25">
      <c r="B22" s="6"/>
      <c r="C22" s="6"/>
      <c r="D22" s="6"/>
      <c r="E22" s="6"/>
      <c r="F22" s="6"/>
      <c r="G22" s="6"/>
      <c r="H22" s="6"/>
      <c r="I22" s="6"/>
      <c r="J22" s="6"/>
      <c r="M22" t="s">
        <v>175</v>
      </c>
      <c r="N22" t="b">
        <v>0</v>
      </c>
      <c r="O22" t="b">
        <v>0</v>
      </c>
      <c r="P22" t="b">
        <f t="shared" si="0"/>
        <v>0</v>
      </c>
      <c r="T22" s="4" t="b">
        <v>0</v>
      </c>
    </row>
    <row r="23" spans="2:20" x14ac:dyDescent="0.25">
      <c r="B23" s="6"/>
      <c r="C23" s="7"/>
      <c r="D23" s="7"/>
      <c r="E23" s="7"/>
      <c r="F23" s="7"/>
      <c r="G23" s="7"/>
      <c r="H23" s="7"/>
      <c r="I23" s="7"/>
      <c r="J23" s="6"/>
      <c r="M23" t="s">
        <v>176</v>
      </c>
      <c r="N23" t="b">
        <v>0</v>
      </c>
      <c r="O23" t="b">
        <v>0</v>
      </c>
      <c r="P23" t="b">
        <f t="shared" si="0"/>
        <v>0</v>
      </c>
      <c r="T23" s="4" t="b">
        <v>0</v>
      </c>
    </row>
    <row r="24" spans="2:20" x14ac:dyDescent="0.25">
      <c r="B24" s="6"/>
      <c r="C24" s="7"/>
      <c r="D24" s="7"/>
      <c r="E24" s="7"/>
      <c r="F24" s="7"/>
      <c r="G24" s="7"/>
      <c r="H24" s="7"/>
      <c r="I24" s="7"/>
      <c r="J24" s="6"/>
      <c r="M24" t="s">
        <v>177</v>
      </c>
      <c r="N24" t="b">
        <v>0</v>
      </c>
      <c r="O24" t="b">
        <v>0</v>
      </c>
      <c r="P24" t="b">
        <f t="shared" si="0"/>
        <v>0</v>
      </c>
      <c r="T24" s="4" t="b">
        <v>0</v>
      </c>
    </row>
    <row r="25" spans="2:20" x14ac:dyDescent="0.25">
      <c r="B25" s="6"/>
      <c r="C25" s="7"/>
      <c r="D25" s="7"/>
      <c r="E25" s="7"/>
      <c r="F25" s="7"/>
      <c r="G25" s="7"/>
      <c r="H25" s="7"/>
      <c r="I25" s="7"/>
      <c r="J25" s="6"/>
      <c r="M25" t="s">
        <v>178</v>
      </c>
      <c r="N25" t="b">
        <v>0</v>
      </c>
      <c r="O25" t="b">
        <v>0</v>
      </c>
      <c r="P25" t="b">
        <f t="shared" si="0"/>
        <v>0</v>
      </c>
      <c r="T25" s="4" t="b">
        <v>0</v>
      </c>
    </row>
    <row r="26" spans="2:20" x14ac:dyDescent="0.25">
      <c r="B26" s="6"/>
      <c r="C26" s="7"/>
      <c r="D26" s="7"/>
      <c r="E26" s="7"/>
      <c r="F26" s="7"/>
      <c r="G26" s="7"/>
      <c r="H26" s="7"/>
      <c r="I26" s="7"/>
      <c r="J26" s="6"/>
      <c r="M26" t="s">
        <v>179</v>
      </c>
      <c r="N26" t="b">
        <v>0</v>
      </c>
      <c r="O26" t="b">
        <v>0</v>
      </c>
      <c r="P26" t="b">
        <f t="shared" si="0"/>
        <v>0</v>
      </c>
      <c r="T26" s="4" t="b">
        <v>0</v>
      </c>
    </row>
    <row r="27" spans="2:20" x14ac:dyDescent="0.25">
      <c r="B27" s="6"/>
      <c r="C27" s="7"/>
      <c r="D27" s="7"/>
      <c r="E27" s="7"/>
      <c r="F27" s="7"/>
      <c r="G27" s="7"/>
      <c r="H27" s="7"/>
      <c r="I27" s="7"/>
      <c r="J27" s="6"/>
      <c r="M27" t="s">
        <v>180</v>
      </c>
      <c r="N27" t="b">
        <v>0</v>
      </c>
      <c r="O27" t="b">
        <v>0</v>
      </c>
      <c r="P27" t="b">
        <f t="shared" si="0"/>
        <v>0</v>
      </c>
      <c r="T27" s="4" t="b">
        <v>0</v>
      </c>
    </row>
    <row r="28" spans="2:20" x14ac:dyDescent="0.25">
      <c r="B28" s="6"/>
      <c r="C28" s="7"/>
      <c r="D28" s="7"/>
      <c r="E28" s="7"/>
      <c r="F28" s="7"/>
      <c r="G28" s="7"/>
      <c r="H28" s="7"/>
      <c r="I28" s="7"/>
      <c r="J28" s="6"/>
      <c r="M28" t="s">
        <v>181</v>
      </c>
      <c r="N28" t="b">
        <v>0</v>
      </c>
      <c r="O28" t="b">
        <v>0</v>
      </c>
      <c r="P28" t="b">
        <f t="shared" si="0"/>
        <v>0</v>
      </c>
      <c r="T28" s="4" t="b">
        <v>0</v>
      </c>
    </row>
    <row r="29" spans="2:20" x14ac:dyDescent="0.25">
      <c r="B29" s="6"/>
      <c r="C29" s="7"/>
      <c r="D29" s="7"/>
      <c r="E29" s="7"/>
      <c r="F29" s="7"/>
      <c r="G29" s="7"/>
      <c r="H29" s="7"/>
      <c r="I29" s="7"/>
      <c r="J29" s="6"/>
      <c r="M29" t="s">
        <v>182</v>
      </c>
      <c r="N29" t="b">
        <v>0</v>
      </c>
      <c r="O29" t="b">
        <v>0</v>
      </c>
      <c r="P29" t="b">
        <f t="shared" si="0"/>
        <v>0</v>
      </c>
      <c r="T29" s="4" t="b">
        <v>0</v>
      </c>
    </row>
    <row r="30" spans="2:20" x14ac:dyDescent="0.25">
      <c r="B30" s="6"/>
      <c r="C30" s="7"/>
      <c r="D30" s="7"/>
      <c r="E30" s="7"/>
      <c r="F30" s="7"/>
      <c r="G30" s="7"/>
      <c r="H30" s="7"/>
      <c r="I30" s="7"/>
      <c r="J30" s="6"/>
      <c r="M30" t="s">
        <v>183</v>
      </c>
      <c r="N30" t="b">
        <v>0</v>
      </c>
      <c r="O30" t="b">
        <v>0</v>
      </c>
      <c r="P30" t="b">
        <f t="shared" si="0"/>
        <v>0</v>
      </c>
      <c r="T30" s="4" t="b">
        <v>0</v>
      </c>
    </row>
    <row r="31" spans="2:20" x14ac:dyDescent="0.25">
      <c r="B31" s="6"/>
      <c r="C31" s="7"/>
      <c r="D31" s="7"/>
      <c r="E31" s="7"/>
      <c r="F31" s="7"/>
      <c r="G31" s="7"/>
      <c r="H31" s="7"/>
      <c r="I31" s="7"/>
      <c r="J31" s="6"/>
      <c r="M31" t="s">
        <v>184</v>
      </c>
      <c r="N31" t="b">
        <v>0</v>
      </c>
      <c r="O31" t="b">
        <v>0</v>
      </c>
      <c r="P31" t="b">
        <f t="shared" si="0"/>
        <v>0</v>
      </c>
      <c r="T31" s="4" t="b">
        <v>0</v>
      </c>
    </row>
    <row r="32" spans="2:20" x14ac:dyDescent="0.25">
      <c r="B32" s="6"/>
      <c r="C32" s="7"/>
      <c r="D32" s="7"/>
      <c r="E32" s="7"/>
      <c r="F32" s="7"/>
      <c r="G32" s="7"/>
      <c r="H32" s="7"/>
      <c r="I32" s="7"/>
      <c r="J32" s="6"/>
      <c r="M32" t="s">
        <v>212</v>
      </c>
      <c r="N32">
        <v>1</v>
      </c>
      <c r="O32">
        <v>1</v>
      </c>
      <c r="P32">
        <f>IFERROR(INDEX(Options!$A$153:$A$159,Report!O32),"error result")</f>
        <v>0</v>
      </c>
      <c r="T32" s="4">
        <v>0</v>
      </c>
    </row>
    <row r="33" spans="2:20" x14ac:dyDescent="0.25">
      <c r="B33" s="6"/>
      <c r="C33" s="7"/>
      <c r="D33" s="7"/>
      <c r="E33" s="7"/>
      <c r="F33" s="7"/>
      <c r="G33" s="7"/>
      <c r="H33" s="7"/>
      <c r="I33" s="7"/>
      <c r="J33" s="6"/>
      <c r="M33" t="s">
        <v>213</v>
      </c>
      <c r="N33">
        <v>0</v>
      </c>
      <c r="O33">
        <v>0</v>
      </c>
      <c r="P33">
        <f>C37</f>
        <v>0</v>
      </c>
      <c r="T33" s="4">
        <v>0</v>
      </c>
    </row>
    <row r="34" spans="2:20" x14ac:dyDescent="0.25">
      <c r="B34" s="6"/>
      <c r="C34" s="7"/>
      <c r="D34" s="7"/>
      <c r="E34" s="7"/>
      <c r="F34" s="7"/>
      <c r="G34" s="7"/>
      <c r="H34" s="7"/>
      <c r="I34" s="7"/>
      <c r="J34" s="6"/>
      <c r="M34" t="s">
        <v>214</v>
      </c>
      <c r="N34">
        <v>0</v>
      </c>
      <c r="O34">
        <v>0</v>
      </c>
      <c r="P34">
        <f>C43</f>
        <v>0</v>
      </c>
      <c r="T34" s="4">
        <v>0</v>
      </c>
    </row>
    <row r="35" spans="2:20" x14ac:dyDescent="0.25">
      <c r="B35" s="6"/>
      <c r="C35" s="6"/>
      <c r="D35" s="6"/>
      <c r="E35" s="6"/>
      <c r="F35" s="6"/>
      <c r="G35" s="6"/>
      <c r="H35" s="6"/>
      <c r="I35" s="6"/>
      <c r="J35" s="6"/>
      <c r="M35" t="s">
        <v>243</v>
      </c>
      <c r="N35">
        <v>1</v>
      </c>
      <c r="O35">
        <v>1</v>
      </c>
      <c r="P35">
        <f>IFERROR(INDEX(Options!A280:A287,Report!O35),"error result")</f>
        <v>0</v>
      </c>
      <c r="T35" s="4">
        <v>0</v>
      </c>
    </row>
    <row r="36" spans="2:20" x14ac:dyDescent="0.25">
      <c r="B36" s="6"/>
      <c r="C36" s="7"/>
      <c r="D36" s="7"/>
      <c r="E36" s="7"/>
      <c r="F36" s="7"/>
      <c r="G36" s="7"/>
      <c r="H36" s="7"/>
      <c r="I36" s="6"/>
      <c r="J36" s="6"/>
      <c r="M36" t="s">
        <v>215</v>
      </c>
      <c r="N36">
        <v>1</v>
      </c>
      <c r="O36">
        <v>1</v>
      </c>
      <c r="P36">
        <f>IFERROR(INDEX(Options!$A$172:$A$176,Report!O36),"error result")</f>
        <v>0</v>
      </c>
      <c r="Q36">
        <f>IFERROR(VLOOKUP(P36,Options!$A$173:$B$176,2,FALSE),0)</f>
        <v>0</v>
      </c>
      <c r="T36" s="4">
        <v>0</v>
      </c>
    </row>
    <row r="37" spans="2:20" x14ac:dyDescent="0.25">
      <c r="B37" s="6"/>
      <c r="C37" s="10"/>
      <c r="D37" s="10"/>
      <c r="E37" s="10"/>
      <c r="F37" s="10"/>
      <c r="G37" s="10"/>
      <c r="H37" s="10"/>
      <c r="I37" s="6"/>
      <c r="J37" s="6"/>
      <c r="M37" t="s">
        <v>216</v>
      </c>
      <c r="N37">
        <v>1</v>
      </c>
      <c r="O37">
        <v>1</v>
      </c>
      <c r="P37">
        <f>IFERROR(INDEX(Options!$A$178:$A$183,Report!O37),"error result")</f>
        <v>0</v>
      </c>
      <c r="Q37">
        <f>IFERROR(VLOOKUP(P37,Options!$A$179:$B$183,2,FALSE),0)</f>
        <v>0</v>
      </c>
      <c r="T37" s="4">
        <v>0</v>
      </c>
    </row>
    <row r="38" spans="2:20" x14ac:dyDescent="0.25">
      <c r="B38" s="6"/>
      <c r="C38" s="10"/>
      <c r="D38" s="10"/>
      <c r="E38" s="10"/>
      <c r="F38" s="10"/>
      <c r="G38" s="10"/>
      <c r="H38" s="10"/>
      <c r="I38" s="6"/>
      <c r="J38" s="6"/>
      <c r="M38" t="s">
        <v>217</v>
      </c>
      <c r="N38">
        <v>1</v>
      </c>
      <c r="O38">
        <v>1</v>
      </c>
      <c r="P38">
        <f>IFERROR(INDEX(Options!$A$185:$A$191,Report!O38),"error result")</f>
        <v>0</v>
      </c>
      <c r="Q38">
        <f>IFERROR(VLOOKUP(P38,Options!$A$186:$B$191,2,FALSE),0)</f>
        <v>0</v>
      </c>
      <c r="T38" s="4">
        <v>0</v>
      </c>
    </row>
    <row r="39" spans="2:20" x14ac:dyDescent="0.25">
      <c r="B39" s="6"/>
      <c r="C39" s="10"/>
      <c r="D39" s="10"/>
      <c r="E39" s="10"/>
      <c r="F39" s="10"/>
      <c r="G39" s="10"/>
      <c r="H39" s="10"/>
      <c r="I39" s="6"/>
      <c r="J39" s="6"/>
      <c r="M39" t="s">
        <v>218</v>
      </c>
      <c r="N39">
        <v>0</v>
      </c>
      <c r="O39">
        <v>0</v>
      </c>
      <c r="P39">
        <f>E64</f>
        <v>0</v>
      </c>
      <c r="T39" s="4">
        <v>0</v>
      </c>
    </row>
    <row r="40" spans="2:20" x14ac:dyDescent="0.25">
      <c r="B40" s="6"/>
      <c r="C40" s="10"/>
      <c r="D40" s="10"/>
      <c r="E40" s="10"/>
      <c r="F40" s="10"/>
      <c r="G40" s="10"/>
      <c r="H40" s="10"/>
      <c r="I40" s="6"/>
      <c r="J40" s="6"/>
      <c r="M40" t="s">
        <v>219</v>
      </c>
      <c r="N40">
        <v>0</v>
      </c>
      <c r="O40">
        <v>0</v>
      </c>
      <c r="P40" t="str">
        <f>F64</f>
        <v/>
      </c>
      <c r="T40" s="4">
        <v>0</v>
      </c>
    </row>
    <row r="41" spans="2:20" x14ac:dyDescent="0.25">
      <c r="B41" s="6"/>
      <c r="C41" s="6"/>
      <c r="D41" s="6"/>
      <c r="E41" s="6"/>
      <c r="F41" s="6"/>
      <c r="G41" s="6"/>
      <c r="H41" s="6"/>
      <c r="I41" s="6"/>
      <c r="J41" s="6"/>
      <c r="M41" t="s">
        <v>220</v>
      </c>
      <c r="N41">
        <v>1</v>
      </c>
      <c r="O41">
        <v>1</v>
      </c>
      <c r="P41" cm="1">
        <f t="array" ref="P41">INDEX(Options!$A$216:$A$220,Report!O41)</f>
        <v>0</v>
      </c>
      <c r="T41" s="4">
        <v>0</v>
      </c>
    </row>
    <row r="42" spans="2:20" x14ac:dyDescent="0.25">
      <c r="B42" s="6"/>
      <c r="C42" s="7"/>
      <c r="D42" s="7"/>
      <c r="E42" s="7"/>
      <c r="F42" s="7"/>
      <c r="G42" s="7"/>
      <c r="H42" s="7"/>
      <c r="I42" s="6"/>
      <c r="J42" s="6"/>
      <c r="M42" t="s">
        <v>221</v>
      </c>
      <c r="N42">
        <v>1</v>
      </c>
      <c r="O42">
        <v>1</v>
      </c>
      <c r="P42" cm="1">
        <f t="array" ref="P42">INDEX(Options!$A$222:$A$226,O42)</f>
        <v>0</v>
      </c>
      <c r="T42" s="4">
        <v>0</v>
      </c>
    </row>
    <row r="43" spans="2:20" x14ac:dyDescent="0.25">
      <c r="B43" s="6"/>
      <c r="C43" s="10"/>
      <c r="D43" s="10"/>
      <c r="E43" s="10"/>
      <c r="F43" s="10"/>
      <c r="G43" s="10"/>
      <c r="H43" s="10"/>
      <c r="I43" s="6"/>
      <c r="J43" s="6"/>
      <c r="M43" t="s">
        <v>222</v>
      </c>
      <c r="N43">
        <v>1</v>
      </c>
      <c r="O43">
        <v>1</v>
      </c>
      <c r="P43" cm="1">
        <f t="array" ref="P43">INDEX(Options!$A$228:$A$231,Report!O43)</f>
        <v>0</v>
      </c>
      <c r="T43" s="4" t="b">
        <v>0</v>
      </c>
    </row>
    <row r="44" spans="2:20" x14ac:dyDescent="0.25">
      <c r="B44" s="6"/>
      <c r="C44" s="10"/>
      <c r="D44" s="10"/>
      <c r="E44" s="10"/>
      <c r="F44" s="10"/>
      <c r="G44" s="10"/>
      <c r="H44" s="10"/>
      <c r="I44" s="6"/>
      <c r="J44" s="6"/>
      <c r="M44" t="s">
        <v>223</v>
      </c>
      <c r="N44" t="b">
        <v>0</v>
      </c>
      <c r="O44" t="b">
        <v>0</v>
      </c>
      <c r="P44" t="b">
        <f>O44</f>
        <v>0</v>
      </c>
      <c r="T44" s="4" t="b">
        <v>0</v>
      </c>
    </row>
    <row r="45" spans="2:20" x14ac:dyDescent="0.25">
      <c r="B45" s="6"/>
      <c r="C45" s="10"/>
      <c r="D45" s="10"/>
      <c r="E45" s="10"/>
      <c r="F45" s="10"/>
      <c r="G45" s="10"/>
      <c r="H45" s="10"/>
      <c r="I45" s="6"/>
      <c r="J45" s="6"/>
      <c r="M45" t="s">
        <v>224</v>
      </c>
      <c r="N45" t="b">
        <v>0</v>
      </c>
      <c r="O45" t="b">
        <v>0</v>
      </c>
      <c r="P45" t="b">
        <f t="shared" ref="P45:P47" si="1">O45</f>
        <v>0</v>
      </c>
      <c r="T45" s="4" t="b">
        <v>0</v>
      </c>
    </row>
    <row r="46" spans="2:20" x14ac:dyDescent="0.25">
      <c r="B46" s="6"/>
      <c r="C46" s="10"/>
      <c r="D46" s="10"/>
      <c r="E46" s="10"/>
      <c r="F46" s="10"/>
      <c r="G46" s="10"/>
      <c r="H46" s="10"/>
      <c r="I46" s="6"/>
      <c r="J46" s="6"/>
      <c r="M46" t="s">
        <v>225</v>
      </c>
      <c r="N46" t="b">
        <v>0</v>
      </c>
      <c r="O46" t="b">
        <v>0</v>
      </c>
      <c r="P46" t="b">
        <f t="shared" si="1"/>
        <v>0</v>
      </c>
      <c r="T46" s="4" t="b">
        <v>0</v>
      </c>
    </row>
    <row r="47" spans="2:20" x14ac:dyDescent="0.25">
      <c r="B47" s="6"/>
      <c r="C47" s="6"/>
      <c r="D47" s="6"/>
      <c r="E47" s="6"/>
      <c r="F47" s="6"/>
      <c r="G47" s="6"/>
      <c r="H47" s="6"/>
      <c r="I47" s="6"/>
      <c r="J47" s="6"/>
      <c r="M47" t="s">
        <v>226</v>
      </c>
      <c r="N47" t="b">
        <v>0</v>
      </c>
      <c r="O47" t="b">
        <v>0</v>
      </c>
      <c r="P47" t="b">
        <f t="shared" si="1"/>
        <v>0</v>
      </c>
      <c r="T47" s="4">
        <v>0</v>
      </c>
    </row>
    <row r="48" spans="2:20" x14ac:dyDescent="0.25">
      <c r="B48" s="6"/>
      <c r="C48" s="7"/>
      <c r="D48" s="7"/>
      <c r="E48" s="7"/>
      <c r="F48" s="7"/>
      <c r="G48" s="6"/>
      <c r="H48" s="6"/>
      <c r="I48" s="6"/>
      <c r="J48" s="6"/>
      <c r="M48" t="s">
        <v>227</v>
      </c>
      <c r="N48">
        <v>1</v>
      </c>
      <c r="O48">
        <v>1</v>
      </c>
      <c r="P48">
        <f>IFERROR(E81,"error result")</f>
        <v>0</v>
      </c>
      <c r="T48" s="4">
        <v>0</v>
      </c>
    </row>
    <row r="49" spans="2:20" x14ac:dyDescent="0.25">
      <c r="B49" s="6"/>
      <c r="C49" s="7"/>
      <c r="D49" s="7"/>
      <c r="E49" s="7"/>
      <c r="F49" s="7"/>
      <c r="G49" s="6"/>
      <c r="H49" s="6"/>
      <c r="I49" s="6"/>
      <c r="J49" s="6"/>
      <c r="M49" t="s">
        <v>138</v>
      </c>
      <c r="N49">
        <v>0</v>
      </c>
      <c r="O49">
        <v>0</v>
      </c>
      <c r="P49">
        <f>IFERROR(INDEX(Options!A241:A245,Report!O48),"error result")</f>
        <v>0</v>
      </c>
      <c r="T49" s="4">
        <v>0</v>
      </c>
    </row>
    <row r="50" spans="2:20" x14ac:dyDescent="0.25">
      <c r="B50" s="6"/>
      <c r="C50" s="7"/>
      <c r="D50" s="7"/>
      <c r="E50" s="7"/>
      <c r="F50" s="7"/>
      <c r="G50" s="6"/>
      <c r="H50" s="6"/>
      <c r="I50" s="6"/>
      <c r="J50" s="6"/>
      <c r="M50" t="s">
        <v>151</v>
      </c>
      <c r="N50">
        <v>1</v>
      </c>
      <c r="O50">
        <v>1</v>
      </c>
      <c r="P50">
        <f>E88</f>
        <v>0</v>
      </c>
      <c r="T50" s="4">
        <v>0</v>
      </c>
    </row>
    <row r="51" spans="2:20" x14ac:dyDescent="0.25">
      <c r="B51" s="6"/>
      <c r="C51" s="6"/>
      <c r="D51" s="6"/>
      <c r="E51" s="6"/>
      <c r="F51" s="6"/>
      <c r="G51" s="6"/>
      <c r="H51" s="6"/>
      <c r="I51" s="6"/>
      <c r="J51" s="6"/>
      <c r="M51" t="s">
        <v>114</v>
      </c>
      <c r="N51">
        <v>0</v>
      </c>
      <c r="O51">
        <v>0</v>
      </c>
      <c r="P51">
        <f>IFERROR(INDEX(Options!A253:A260,Report!O50),"error result")</f>
        <v>0</v>
      </c>
    </row>
    <row r="52" spans="2:20" x14ac:dyDescent="0.25">
      <c r="B52" s="6"/>
      <c r="C52" s="7"/>
      <c r="D52" s="7"/>
      <c r="E52" s="7"/>
      <c r="F52" s="7"/>
      <c r="G52" s="6"/>
      <c r="H52" s="6"/>
      <c r="I52" s="6"/>
      <c r="J52" s="6"/>
      <c r="M52" t="s">
        <v>248</v>
      </c>
      <c r="N52">
        <v>1</v>
      </c>
      <c r="O52">
        <v>1</v>
      </c>
      <c r="P52">
        <f>E94</f>
        <v>0</v>
      </c>
    </row>
    <row r="53" spans="2:20" x14ac:dyDescent="0.25">
      <c r="B53" s="6"/>
      <c r="C53" s="7"/>
      <c r="D53" s="7"/>
      <c r="E53" s="7"/>
      <c r="F53" s="7"/>
      <c r="G53" s="6"/>
      <c r="H53" s="6"/>
      <c r="I53" s="6"/>
      <c r="J53" s="6"/>
      <c r="M53" t="s">
        <v>113</v>
      </c>
      <c r="N53">
        <v>1</v>
      </c>
      <c r="O53">
        <v>1</v>
      </c>
      <c r="P53">
        <f>IFERROR(INDEX(Options!A248:A251,Report!O52),"error result")</f>
        <v>0</v>
      </c>
    </row>
    <row r="54" spans="2:20" x14ac:dyDescent="0.25">
      <c r="B54" s="6"/>
      <c r="C54" s="7"/>
      <c r="D54" s="7"/>
      <c r="E54" s="7"/>
      <c r="F54" s="7"/>
      <c r="G54" s="6"/>
      <c r="H54" s="6"/>
      <c r="I54" s="6"/>
      <c r="J54" s="6"/>
      <c r="M54" t="s">
        <v>115</v>
      </c>
      <c r="N54">
        <v>1</v>
      </c>
      <c r="O54">
        <v>1</v>
      </c>
      <c r="P54">
        <f>IFERROR(INDEX(Options!A262:A266,Report!O53),"error result")</f>
        <v>0</v>
      </c>
    </row>
    <row r="55" spans="2:20" x14ac:dyDescent="0.25">
      <c r="B55" s="6"/>
      <c r="C55" s="6"/>
      <c r="D55" s="6"/>
      <c r="E55" s="6"/>
      <c r="F55" s="6"/>
      <c r="G55" s="6"/>
      <c r="H55" s="6"/>
      <c r="I55" s="6"/>
      <c r="J55" s="6"/>
      <c r="M55" t="s">
        <v>134</v>
      </c>
      <c r="N55">
        <v>1</v>
      </c>
      <c r="O55">
        <v>1</v>
      </c>
      <c r="P55">
        <f>IFERROR(INDEX(Options!A268:A272,Report!O54),"error result")</f>
        <v>0</v>
      </c>
      <c r="T55" s="4">
        <v>0</v>
      </c>
    </row>
    <row r="56" spans="2:20" x14ac:dyDescent="0.25">
      <c r="B56" s="6"/>
      <c r="C56" s="7"/>
      <c r="D56" s="7"/>
      <c r="E56" s="7"/>
      <c r="F56" s="7"/>
      <c r="G56" s="7"/>
      <c r="H56" s="6"/>
      <c r="I56" s="6"/>
      <c r="J56" s="6"/>
      <c r="M56" t="s">
        <v>157</v>
      </c>
      <c r="N56" t="b">
        <v>0</v>
      </c>
      <c r="O56" t="b">
        <v>0</v>
      </c>
      <c r="P56">
        <f>IFERROR(INDEX(Options!A274:A278,Report!O55),"error result")</f>
        <v>0</v>
      </c>
      <c r="T56" s="4">
        <v>0</v>
      </c>
    </row>
    <row r="57" spans="2:20" x14ac:dyDescent="0.25">
      <c r="B57" s="6"/>
      <c r="C57" s="7"/>
      <c r="D57" s="7"/>
      <c r="E57" s="7"/>
      <c r="F57" s="7"/>
      <c r="G57" s="7"/>
      <c r="H57" s="6"/>
      <c r="I57" s="6"/>
      <c r="J57" s="6"/>
      <c r="M57" t="s">
        <v>139</v>
      </c>
      <c r="N57" t="b">
        <v>0</v>
      </c>
      <c r="O57" t="b">
        <v>0</v>
      </c>
      <c r="P57" t="b">
        <f>O56</f>
        <v>0</v>
      </c>
      <c r="T57" s="4">
        <v>0</v>
      </c>
    </row>
    <row r="58" spans="2:20" x14ac:dyDescent="0.25">
      <c r="B58" s="6"/>
      <c r="C58" s="7"/>
      <c r="D58" s="7"/>
      <c r="E58" s="7"/>
      <c r="F58" s="7"/>
      <c r="G58" s="7"/>
      <c r="H58" s="6"/>
      <c r="I58" s="6"/>
      <c r="J58" s="6"/>
      <c r="M58" t="s">
        <v>140</v>
      </c>
      <c r="N58" t="b">
        <v>0</v>
      </c>
      <c r="O58" t="b">
        <v>0</v>
      </c>
      <c r="P58" t="b">
        <f t="shared" ref="P58:P61" si="2">O57</f>
        <v>0</v>
      </c>
      <c r="T58" s="4">
        <v>0</v>
      </c>
    </row>
    <row r="59" spans="2:20" x14ac:dyDescent="0.25">
      <c r="B59" s="6"/>
      <c r="C59" s="7"/>
      <c r="D59" s="7"/>
      <c r="E59" s="7"/>
      <c r="F59" s="7"/>
      <c r="G59" s="7"/>
      <c r="H59" s="6"/>
      <c r="I59" s="6"/>
      <c r="J59" s="6"/>
      <c r="M59" t="s">
        <v>141</v>
      </c>
      <c r="N59" t="b">
        <v>0</v>
      </c>
      <c r="O59" t="b">
        <v>0</v>
      </c>
      <c r="P59" t="b">
        <f t="shared" si="2"/>
        <v>0</v>
      </c>
      <c r="T59" s="4">
        <v>0</v>
      </c>
    </row>
    <row r="60" spans="2:20" x14ac:dyDescent="0.25">
      <c r="B60" s="6"/>
      <c r="C60" s="7"/>
      <c r="D60" s="7"/>
      <c r="E60" s="7"/>
      <c r="F60" s="7"/>
      <c r="G60" s="7"/>
      <c r="H60" s="6"/>
      <c r="I60" s="6"/>
      <c r="J60" s="6"/>
      <c r="M60" t="s">
        <v>142</v>
      </c>
      <c r="N60" t="b">
        <v>0</v>
      </c>
      <c r="O60" t="b">
        <v>0</v>
      </c>
      <c r="P60" t="b">
        <f t="shared" si="2"/>
        <v>0</v>
      </c>
      <c r="T60" s="4">
        <v>0</v>
      </c>
    </row>
    <row r="61" spans="2:20" x14ac:dyDescent="0.25">
      <c r="B61" s="6"/>
      <c r="C61" s="7"/>
      <c r="D61" s="7"/>
      <c r="E61" s="7"/>
      <c r="F61" s="7"/>
      <c r="G61" s="7"/>
      <c r="H61" s="6"/>
      <c r="I61" s="6"/>
      <c r="J61" s="6"/>
      <c r="M61" t="s">
        <v>135</v>
      </c>
      <c r="N61">
        <v>0</v>
      </c>
      <c r="O61">
        <v>0</v>
      </c>
      <c r="P61" t="b">
        <f t="shared" si="2"/>
        <v>0</v>
      </c>
      <c r="T61" s="4" t="b">
        <v>0</v>
      </c>
    </row>
    <row r="62" spans="2:20" x14ac:dyDescent="0.25">
      <c r="B62" s="6"/>
      <c r="C62" s="7"/>
      <c r="D62" s="7"/>
      <c r="E62" s="7"/>
      <c r="F62" s="7"/>
      <c r="G62" s="7"/>
      <c r="H62" s="6"/>
      <c r="I62" s="6"/>
      <c r="J62" s="6"/>
      <c r="M62" t="s">
        <v>143</v>
      </c>
      <c r="N62">
        <v>0</v>
      </c>
      <c r="O62">
        <v>0</v>
      </c>
      <c r="P62">
        <f>E115</f>
        <v>0</v>
      </c>
      <c r="T62" s="4" t="b">
        <v>0</v>
      </c>
    </row>
    <row r="63" spans="2:20" x14ac:dyDescent="0.25">
      <c r="B63" s="6"/>
      <c r="C63" s="7"/>
      <c r="D63" s="7"/>
      <c r="E63" s="8"/>
      <c r="F63" s="7"/>
      <c r="G63" s="7"/>
      <c r="H63" s="6"/>
      <c r="I63" s="6"/>
      <c r="J63" s="6"/>
      <c r="M63" t="s">
        <v>144</v>
      </c>
      <c r="N63">
        <v>0</v>
      </c>
      <c r="O63">
        <v>0</v>
      </c>
      <c r="P63">
        <f>E117</f>
        <v>0</v>
      </c>
      <c r="T63" s="4" t="b">
        <v>0</v>
      </c>
    </row>
    <row r="64" spans="2:20" x14ac:dyDescent="0.25">
      <c r="B64" s="6"/>
      <c r="C64" s="7"/>
      <c r="D64" s="7"/>
      <c r="E64" s="7">
        <f>SUM(Q36,Q37,Q38)</f>
        <v>0</v>
      </c>
      <c r="F64" s="11" t="str">
        <f>IF(E64=0,"",IF(E64&gt;=Options!$A$193,Options!$B$193,IF(E64&gt;=Options!$A$194,Options!$B$194,Options!$B$195)))</f>
        <v/>
      </c>
      <c r="G64" s="7"/>
      <c r="H64" s="6"/>
      <c r="I64" s="6"/>
      <c r="J64" s="6"/>
      <c r="M64" t="s">
        <v>145</v>
      </c>
      <c r="N64">
        <v>0</v>
      </c>
      <c r="O64">
        <v>0</v>
      </c>
      <c r="P64">
        <f>G117</f>
        <v>0</v>
      </c>
    </row>
    <row r="65" spans="2:20" x14ac:dyDescent="0.25">
      <c r="B65" s="6"/>
      <c r="C65" s="7"/>
      <c r="D65" s="7"/>
      <c r="E65" s="7"/>
      <c r="F65" s="7"/>
      <c r="G65" s="7"/>
      <c r="H65" s="6"/>
      <c r="I65" s="6"/>
      <c r="J65" s="6"/>
      <c r="M65" t="s">
        <v>147</v>
      </c>
      <c r="N65">
        <v>0</v>
      </c>
      <c r="O65">
        <v>0</v>
      </c>
      <c r="P65">
        <f>C120</f>
        <v>0</v>
      </c>
      <c r="T65" s="4" t="b">
        <v>0</v>
      </c>
    </row>
    <row r="66" spans="2:20" x14ac:dyDescent="0.25">
      <c r="B66" s="6"/>
      <c r="C66" s="6"/>
      <c r="D66" s="6"/>
      <c r="E66" s="6"/>
      <c r="F66" s="6"/>
      <c r="G66" s="6"/>
      <c r="H66" s="6"/>
      <c r="I66" s="6"/>
      <c r="J66" s="6"/>
      <c r="M66" t="s">
        <v>148</v>
      </c>
      <c r="N66" t="b">
        <v>0</v>
      </c>
      <c r="O66" t="b">
        <v>0</v>
      </c>
      <c r="P66">
        <f>C126</f>
        <v>0</v>
      </c>
      <c r="T66" s="4" t="b">
        <v>0</v>
      </c>
    </row>
    <row r="67" spans="2:20" x14ac:dyDescent="0.25">
      <c r="B67" s="6"/>
      <c r="C67" s="7"/>
      <c r="D67" s="7"/>
      <c r="E67" s="7"/>
      <c r="F67" s="7"/>
      <c r="G67" s="7"/>
      <c r="H67" s="7"/>
      <c r="I67" s="7"/>
      <c r="J67" s="6"/>
      <c r="M67" t="s">
        <v>185</v>
      </c>
      <c r="N67" t="b">
        <v>0</v>
      </c>
      <c r="O67" t="b">
        <v>0</v>
      </c>
      <c r="P67" t="b">
        <f>O66</f>
        <v>0</v>
      </c>
      <c r="T67" s="4">
        <v>0</v>
      </c>
    </row>
    <row r="68" spans="2:20" x14ac:dyDescent="0.25">
      <c r="B68" s="6"/>
      <c r="C68" s="7"/>
      <c r="D68" s="7"/>
      <c r="E68" s="7"/>
      <c r="F68" s="7"/>
      <c r="G68" s="7"/>
      <c r="H68" s="7"/>
      <c r="I68" s="7"/>
      <c r="J68" s="6"/>
      <c r="M68" t="s">
        <v>186</v>
      </c>
      <c r="N68" t="b">
        <v>0</v>
      </c>
      <c r="O68" t="b">
        <v>0</v>
      </c>
      <c r="P68" t="b">
        <f t="shared" ref="P68:P93" si="3">O67</f>
        <v>0</v>
      </c>
      <c r="T68" s="4">
        <v>0</v>
      </c>
    </row>
    <row r="69" spans="2:20" x14ac:dyDescent="0.25">
      <c r="B69" s="6"/>
      <c r="C69" s="7"/>
      <c r="D69" s="7"/>
      <c r="E69" s="7"/>
      <c r="F69" s="7"/>
      <c r="G69" s="7"/>
      <c r="H69" s="7"/>
      <c r="I69" s="7"/>
      <c r="J69" s="6"/>
      <c r="M69" t="s">
        <v>187</v>
      </c>
      <c r="N69" t="b">
        <v>0</v>
      </c>
      <c r="O69" t="b">
        <v>0</v>
      </c>
      <c r="P69" t="b">
        <f t="shared" si="3"/>
        <v>0</v>
      </c>
      <c r="T69" s="4">
        <v>0</v>
      </c>
    </row>
    <row r="70" spans="2:20" x14ac:dyDescent="0.25">
      <c r="B70" s="6"/>
      <c r="C70" s="7"/>
      <c r="D70" s="7"/>
      <c r="E70" s="7"/>
      <c r="F70" s="7"/>
      <c r="G70" s="7"/>
      <c r="H70" s="7"/>
      <c r="I70" s="7"/>
      <c r="J70" s="6"/>
      <c r="M70" t="s">
        <v>188</v>
      </c>
      <c r="N70" t="b">
        <v>0</v>
      </c>
      <c r="O70" t="b">
        <v>0</v>
      </c>
      <c r="P70" t="b">
        <f t="shared" si="3"/>
        <v>0</v>
      </c>
      <c r="T70" s="4">
        <v>0</v>
      </c>
    </row>
    <row r="71" spans="2:20" x14ac:dyDescent="0.25">
      <c r="B71" s="6"/>
      <c r="C71" s="7"/>
      <c r="D71" s="7"/>
      <c r="E71" s="7"/>
      <c r="F71" s="7"/>
      <c r="G71" s="7"/>
      <c r="H71" s="7"/>
      <c r="I71" s="7"/>
      <c r="J71" s="6"/>
      <c r="M71" t="s">
        <v>189</v>
      </c>
      <c r="N71" t="b">
        <v>0</v>
      </c>
      <c r="O71" t="b">
        <v>0</v>
      </c>
      <c r="P71" t="b">
        <f t="shared" si="3"/>
        <v>0</v>
      </c>
      <c r="T71" s="4">
        <v>0</v>
      </c>
    </row>
    <row r="72" spans="2:20" x14ac:dyDescent="0.25">
      <c r="B72" s="6"/>
      <c r="C72" s="7"/>
      <c r="D72" s="7"/>
      <c r="E72" s="7"/>
      <c r="F72" s="7"/>
      <c r="G72" s="7"/>
      <c r="H72" s="7"/>
      <c r="I72" s="7"/>
      <c r="J72" s="6"/>
      <c r="M72" t="s">
        <v>190</v>
      </c>
      <c r="N72" t="b">
        <v>0</v>
      </c>
      <c r="O72" t="b">
        <v>0</v>
      </c>
      <c r="P72" t="b">
        <f t="shared" si="3"/>
        <v>0</v>
      </c>
      <c r="T72" s="4" t="b">
        <v>0</v>
      </c>
    </row>
    <row r="73" spans="2:20" x14ac:dyDescent="0.25">
      <c r="B73" s="6"/>
      <c r="C73" s="7"/>
      <c r="D73" s="7"/>
      <c r="E73" s="7"/>
      <c r="F73" s="7"/>
      <c r="G73" s="7"/>
      <c r="H73" s="7"/>
      <c r="I73" s="7"/>
      <c r="J73" s="6"/>
      <c r="M73" t="s">
        <v>191</v>
      </c>
      <c r="N73" t="b">
        <v>0</v>
      </c>
      <c r="O73" t="b">
        <v>0</v>
      </c>
      <c r="P73" t="b">
        <f t="shared" si="3"/>
        <v>0</v>
      </c>
      <c r="T73" s="4" t="b">
        <v>0</v>
      </c>
    </row>
    <row r="74" spans="2:20" x14ac:dyDescent="0.25">
      <c r="B74" s="6"/>
      <c r="C74" s="6"/>
      <c r="D74" s="6"/>
      <c r="E74" s="6"/>
      <c r="F74" s="6"/>
      <c r="G74" s="6"/>
      <c r="H74" s="6"/>
      <c r="I74" s="6"/>
      <c r="J74" s="6"/>
      <c r="M74" t="s">
        <v>192</v>
      </c>
      <c r="N74" t="b">
        <v>0</v>
      </c>
      <c r="O74" t="b">
        <v>0</v>
      </c>
      <c r="P74" t="b">
        <f t="shared" si="3"/>
        <v>0</v>
      </c>
      <c r="T74" s="4" t="b">
        <v>0</v>
      </c>
    </row>
    <row r="75" spans="2:20" x14ac:dyDescent="0.25">
      <c r="B75" s="6"/>
      <c r="C75" s="7"/>
      <c r="D75" s="7"/>
      <c r="E75" s="7"/>
      <c r="F75" s="6"/>
      <c r="G75" s="6"/>
      <c r="H75" s="6"/>
      <c r="I75" s="6"/>
      <c r="J75" s="6"/>
      <c r="M75" t="s">
        <v>193</v>
      </c>
      <c r="N75" t="b">
        <v>0</v>
      </c>
      <c r="O75" t="b">
        <v>0</v>
      </c>
      <c r="P75" t="b">
        <f t="shared" si="3"/>
        <v>0</v>
      </c>
      <c r="T75" s="4" t="b">
        <v>0</v>
      </c>
    </row>
    <row r="76" spans="2:20" x14ac:dyDescent="0.25">
      <c r="B76" s="6"/>
      <c r="C76" s="7"/>
      <c r="D76" s="7"/>
      <c r="E76" s="7"/>
      <c r="F76" s="6"/>
      <c r="G76" s="6"/>
      <c r="H76" s="6"/>
      <c r="I76" s="6"/>
      <c r="J76" s="6"/>
      <c r="M76" t="s">
        <v>194</v>
      </c>
      <c r="N76" t="b">
        <v>0</v>
      </c>
      <c r="O76" t="b">
        <v>0</v>
      </c>
      <c r="P76" t="b">
        <f t="shared" si="3"/>
        <v>0</v>
      </c>
      <c r="T76" s="4" t="b">
        <v>0</v>
      </c>
    </row>
    <row r="77" spans="2:20" x14ac:dyDescent="0.25">
      <c r="B77" s="6"/>
      <c r="C77" s="7"/>
      <c r="D77" s="7"/>
      <c r="E77" s="7"/>
      <c r="F77" s="6"/>
      <c r="G77" s="6"/>
      <c r="H77" s="6"/>
      <c r="I77" s="6"/>
      <c r="J77" s="6"/>
      <c r="M77" t="s">
        <v>195</v>
      </c>
      <c r="N77" t="b">
        <v>0</v>
      </c>
      <c r="O77" t="b">
        <v>0</v>
      </c>
      <c r="P77" t="b">
        <f t="shared" si="3"/>
        <v>0</v>
      </c>
      <c r="T77" s="4" t="b">
        <v>0</v>
      </c>
    </row>
    <row r="78" spans="2:20" x14ac:dyDescent="0.25">
      <c r="B78" s="6"/>
      <c r="C78" s="7"/>
      <c r="D78" s="7"/>
      <c r="E78" s="7"/>
      <c r="F78" s="6"/>
      <c r="G78" s="6"/>
      <c r="H78" s="6"/>
      <c r="I78" s="6"/>
      <c r="J78" s="6"/>
      <c r="M78" t="s">
        <v>196</v>
      </c>
      <c r="N78" t="b">
        <v>0</v>
      </c>
      <c r="O78" t="b">
        <v>0</v>
      </c>
      <c r="P78" t="b">
        <f t="shared" si="3"/>
        <v>0</v>
      </c>
      <c r="T78" s="4" t="b">
        <v>0</v>
      </c>
    </row>
    <row r="79" spans="2:20" x14ac:dyDescent="0.25">
      <c r="B79" s="6"/>
      <c r="C79" s="7"/>
      <c r="D79" s="7"/>
      <c r="E79" s="7"/>
      <c r="F79" s="6"/>
      <c r="G79" s="6"/>
      <c r="H79" s="6"/>
      <c r="I79" s="6"/>
      <c r="J79" s="6"/>
      <c r="M79" t="s">
        <v>197</v>
      </c>
      <c r="N79" t="b">
        <v>0</v>
      </c>
      <c r="O79" t="b">
        <v>0</v>
      </c>
      <c r="P79" t="b">
        <f t="shared" si="3"/>
        <v>0</v>
      </c>
      <c r="T79" s="4" t="b">
        <v>0</v>
      </c>
    </row>
    <row r="80" spans="2:20" x14ac:dyDescent="0.25">
      <c r="B80" s="6"/>
      <c r="C80" s="7"/>
      <c r="D80" s="7"/>
      <c r="E80" s="7"/>
      <c r="F80" s="6"/>
      <c r="G80" s="6"/>
      <c r="H80" s="6"/>
      <c r="I80" s="6"/>
      <c r="J80" s="6"/>
      <c r="M80" t="s">
        <v>198</v>
      </c>
      <c r="N80" t="b">
        <v>0</v>
      </c>
      <c r="O80" t="b">
        <v>0</v>
      </c>
      <c r="P80" t="b">
        <f t="shared" si="3"/>
        <v>0</v>
      </c>
      <c r="T80" s="4" t="b">
        <v>0</v>
      </c>
    </row>
    <row r="81" spans="2:20" x14ac:dyDescent="0.25">
      <c r="B81" s="6"/>
      <c r="C81" s="7"/>
      <c r="D81" s="7"/>
      <c r="E81" s="7">
        <f>COUNTIF(O44:O47,TRUE)</f>
        <v>0</v>
      </c>
      <c r="F81" s="6"/>
      <c r="G81" s="6"/>
      <c r="H81" s="6"/>
      <c r="I81" s="6"/>
      <c r="J81" s="6"/>
      <c r="M81" t="s">
        <v>199</v>
      </c>
      <c r="N81" t="b">
        <v>0</v>
      </c>
      <c r="O81" t="b">
        <v>0</v>
      </c>
      <c r="P81" t="b">
        <f t="shared" si="3"/>
        <v>0</v>
      </c>
      <c r="T81" s="4" t="b">
        <v>0</v>
      </c>
    </row>
    <row r="82" spans="2:20" x14ac:dyDescent="0.25">
      <c r="B82" s="6"/>
      <c r="C82" s="6"/>
      <c r="D82" s="6"/>
      <c r="E82" s="6"/>
      <c r="F82" s="6"/>
      <c r="G82" s="6"/>
      <c r="H82" s="6"/>
      <c r="I82" s="6"/>
      <c r="J82" s="6"/>
      <c r="M82" t="s">
        <v>200</v>
      </c>
      <c r="N82" t="b">
        <v>0</v>
      </c>
      <c r="O82" t="b">
        <v>0</v>
      </c>
      <c r="P82" t="b">
        <f t="shared" si="3"/>
        <v>0</v>
      </c>
      <c r="T82" s="4" t="b">
        <v>0</v>
      </c>
    </row>
    <row r="83" spans="2:20" x14ac:dyDescent="0.25">
      <c r="M83" t="s">
        <v>201</v>
      </c>
      <c r="N83" t="b">
        <v>0</v>
      </c>
      <c r="O83" t="b">
        <v>0</v>
      </c>
      <c r="P83" t="b">
        <f t="shared" si="3"/>
        <v>0</v>
      </c>
      <c r="T83" s="4" t="b">
        <v>0</v>
      </c>
    </row>
    <row r="84" spans="2:20" x14ac:dyDescent="0.25">
      <c r="B84" s="6"/>
      <c r="C84" s="6"/>
      <c r="D84" s="6"/>
      <c r="E84" s="6"/>
      <c r="F84" s="6"/>
      <c r="G84" s="6"/>
      <c r="H84" s="6"/>
      <c r="I84" s="6"/>
      <c r="M84" t="s">
        <v>202</v>
      </c>
      <c r="N84" t="b">
        <v>0</v>
      </c>
      <c r="O84" t="b">
        <v>0</v>
      </c>
      <c r="P84" t="b">
        <f t="shared" si="3"/>
        <v>0</v>
      </c>
      <c r="T84" s="4" t="b">
        <v>0</v>
      </c>
    </row>
    <row r="85" spans="2:20" x14ac:dyDescent="0.25">
      <c r="B85" s="6"/>
      <c r="C85" s="7"/>
      <c r="D85" s="7"/>
      <c r="E85" s="7"/>
      <c r="F85" s="7"/>
      <c r="G85" s="7"/>
      <c r="H85" s="7"/>
      <c r="I85" s="6"/>
      <c r="M85" t="s">
        <v>203</v>
      </c>
      <c r="N85" t="b">
        <v>0</v>
      </c>
      <c r="O85" t="b">
        <v>0</v>
      </c>
      <c r="P85" t="b">
        <f t="shared" si="3"/>
        <v>0</v>
      </c>
      <c r="T85" s="4" t="b">
        <v>0</v>
      </c>
    </row>
    <row r="86" spans="2:20" x14ac:dyDescent="0.25">
      <c r="B86" s="6"/>
      <c r="C86" s="7"/>
      <c r="D86" s="7"/>
      <c r="E86" s="7"/>
      <c r="F86" s="7"/>
      <c r="G86" s="7"/>
      <c r="H86" s="7"/>
      <c r="I86" s="6"/>
      <c r="M86" t="s">
        <v>204</v>
      </c>
      <c r="N86" t="b">
        <v>0</v>
      </c>
      <c r="O86" t="b">
        <v>0</v>
      </c>
      <c r="P86" t="b">
        <f t="shared" si="3"/>
        <v>0</v>
      </c>
      <c r="T86" s="4" t="b">
        <v>0</v>
      </c>
    </row>
    <row r="87" spans="2:20" x14ac:dyDescent="0.25">
      <c r="B87" s="6"/>
      <c r="C87" s="7"/>
      <c r="D87" s="7"/>
      <c r="E87" s="7"/>
      <c r="F87" s="7"/>
      <c r="G87" s="7"/>
      <c r="H87" s="7"/>
      <c r="I87" s="6"/>
      <c r="M87" t="s">
        <v>205</v>
      </c>
      <c r="N87" t="b">
        <v>0</v>
      </c>
      <c r="O87" t="b">
        <v>0</v>
      </c>
      <c r="P87" t="b">
        <f t="shared" si="3"/>
        <v>0</v>
      </c>
      <c r="T87" s="4" t="b">
        <v>0</v>
      </c>
    </row>
    <row r="88" spans="2:20" x14ac:dyDescent="0.25">
      <c r="B88" s="6"/>
      <c r="C88" s="7"/>
      <c r="D88" s="7"/>
      <c r="E88" s="10"/>
      <c r="F88" s="10"/>
      <c r="G88" s="10"/>
      <c r="H88" s="7"/>
      <c r="I88" s="6"/>
      <c r="M88" t="s">
        <v>206</v>
      </c>
      <c r="N88" t="b">
        <v>0</v>
      </c>
      <c r="O88" t="b">
        <v>0</v>
      </c>
      <c r="P88" t="b">
        <f t="shared" si="3"/>
        <v>0</v>
      </c>
      <c r="T88" s="4" t="b">
        <v>0</v>
      </c>
    </row>
    <row r="89" spans="2:20" x14ac:dyDescent="0.25">
      <c r="B89" s="6"/>
      <c r="C89" s="7"/>
      <c r="D89" s="7"/>
      <c r="E89" s="10"/>
      <c r="F89" s="10"/>
      <c r="G89" s="10"/>
      <c r="H89" s="7"/>
      <c r="I89" s="6"/>
      <c r="M89" t="s">
        <v>207</v>
      </c>
      <c r="N89" t="b">
        <v>0</v>
      </c>
      <c r="O89" t="b">
        <v>0</v>
      </c>
      <c r="P89" t="b">
        <f t="shared" si="3"/>
        <v>0</v>
      </c>
      <c r="T89" s="4" t="b">
        <v>0</v>
      </c>
    </row>
    <row r="90" spans="2:20" x14ac:dyDescent="0.25">
      <c r="B90" s="6"/>
      <c r="C90" s="7"/>
      <c r="D90" s="7"/>
      <c r="E90" s="10"/>
      <c r="F90" s="10"/>
      <c r="G90" s="10"/>
      <c r="H90" s="7"/>
      <c r="I90" s="6"/>
      <c r="M90" t="s">
        <v>208</v>
      </c>
      <c r="N90" t="b">
        <v>0</v>
      </c>
      <c r="O90" t="b">
        <v>0</v>
      </c>
      <c r="P90" t="b">
        <f t="shared" si="3"/>
        <v>0</v>
      </c>
      <c r="T90" s="4" t="b">
        <v>0</v>
      </c>
    </row>
    <row r="91" spans="2:20" x14ac:dyDescent="0.25">
      <c r="B91" s="6"/>
      <c r="C91" s="7"/>
      <c r="D91" s="7"/>
      <c r="E91" s="7"/>
      <c r="F91" s="7"/>
      <c r="G91" s="7"/>
      <c r="H91" s="7"/>
      <c r="I91" s="6"/>
      <c r="M91" t="s">
        <v>209</v>
      </c>
      <c r="N91" t="b">
        <v>0</v>
      </c>
      <c r="O91" t="b">
        <v>0</v>
      </c>
      <c r="P91" t="b">
        <f t="shared" si="3"/>
        <v>0</v>
      </c>
      <c r="T91" s="4" t="b">
        <v>0</v>
      </c>
    </row>
    <row r="92" spans="2:20" x14ac:dyDescent="0.25">
      <c r="B92" s="6"/>
      <c r="C92" s="7"/>
      <c r="D92" s="7"/>
      <c r="E92" s="7"/>
      <c r="F92" s="7"/>
      <c r="G92" s="7"/>
      <c r="H92" s="7"/>
      <c r="I92" s="6"/>
      <c r="M92" t="s">
        <v>210</v>
      </c>
      <c r="N92" t="b">
        <v>0</v>
      </c>
      <c r="O92" t="b">
        <v>0</v>
      </c>
      <c r="P92" t="b">
        <f t="shared" si="3"/>
        <v>0</v>
      </c>
      <c r="T92" s="4" t="b">
        <v>0</v>
      </c>
    </row>
    <row r="93" spans="2:20" x14ac:dyDescent="0.25">
      <c r="B93" s="6"/>
      <c r="C93" s="7"/>
      <c r="D93" s="7"/>
      <c r="E93" s="7"/>
      <c r="F93" s="7"/>
      <c r="G93" s="7"/>
      <c r="H93" s="7"/>
      <c r="I93" s="6"/>
      <c r="M93" t="s">
        <v>211</v>
      </c>
      <c r="N93" t="s">
        <v>146</v>
      </c>
      <c r="O93" t="s">
        <v>146</v>
      </c>
      <c r="P93" t="b">
        <f t="shared" si="3"/>
        <v>0</v>
      </c>
      <c r="T93" s="4" t="b">
        <v>0</v>
      </c>
    </row>
    <row r="94" spans="2:20" x14ac:dyDescent="0.25">
      <c r="B94" s="6"/>
      <c r="C94" s="7"/>
      <c r="D94" s="7"/>
      <c r="E94" s="12"/>
      <c r="F94" s="13"/>
      <c r="G94" s="14"/>
      <c r="H94" s="7"/>
      <c r="I94" s="6"/>
      <c r="M94" t="s">
        <v>229</v>
      </c>
      <c r="N94">
        <v>1</v>
      </c>
      <c r="O94">
        <v>1</v>
      </c>
      <c r="P94">
        <f>C149</f>
        <v>0</v>
      </c>
      <c r="T94" s="4" t="b">
        <v>0</v>
      </c>
    </row>
    <row r="95" spans="2:20" x14ac:dyDescent="0.25">
      <c r="B95" s="6"/>
      <c r="C95" s="7"/>
      <c r="D95" s="7"/>
      <c r="E95" s="15"/>
      <c r="F95" s="16"/>
      <c r="G95" s="17"/>
      <c r="H95" s="7"/>
      <c r="I95" s="6"/>
      <c r="M95" t="s">
        <v>228</v>
      </c>
      <c r="N95">
        <v>1</v>
      </c>
      <c r="O95">
        <v>1</v>
      </c>
      <c r="P95">
        <f>IFERROR(INDEX(Options!$A$153:$A$159,Report!O94),"error result")</f>
        <v>0</v>
      </c>
      <c r="T95" s="4" t="b">
        <v>0</v>
      </c>
    </row>
    <row r="96" spans="2:20" x14ac:dyDescent="0.25">
      <c r="B96" s="6"/>
      <c r="C96" s="7"/>
      <c r="D96" s="7"/>
      <c r="E96" s="7"/>
      <c r="F96" s="7"/>
      <c r="G96" s="7"/>
      <c r="H96" s="7"/>
      <c r="I96" s="6"/>
      <c r="M96" t="s">
        <v>244</v>
      </c>
      <c r="N96">
        <v>1</v>
      </c>
      <c r="O96">
        <v>1</v>
      </c>
      <c r="P96">
        <f>IFERROR(INDEX(Options!A280:A287,Report!O95),"error result")</f>
        <v>0</v>
      </c>
      <c r="T96" s="4" t="b">
        <v>0</v>
      </c>
    </row>
    <row r="97" spans="2:20" x14ac:dyDescent="0.25">
      <c r="B97" s="6"/>
      <c r="C97" s="7"/>
      <c r="D97" s="7"/>
      <c r="E97" s="7"/>
      <c r="F97" s="7"/>
      <c r="G97" s="7"/>
      <c r="H97" s="7"/>
      <c r="I97" s="6"/>
      <c r="M97" t="s">
        <v>230</v>
      </c>
      <c r="N97">
        <v>1</v>
      </c>
      <c r="O97">
        <v>1</v>
      </c>
      <c r="P97">
        <f>IFERROR(INDEX(Options!$A$172:$A$176,Report!O96),"error result")</f>
        <v>0</v>
      </c>
      <c r="Q97">
        <f>IFERROR(VLOOKUP(P97,Options!$A$173:$B$176,2,FALSE),0)</f>
        <v>0</v>
      </c>
      <c r="T97" s="4" t="b">
        <v>0</v>
      </c>
    </row>
    <row r="98" spans="2:20" x14ac:dyDescent="0.25">
      <c r="B98" s="6"/>
      <c r="C98" s="7"/>
      <c r="D98" s="7"/>
      <c r="E98" s="7"/>
      <c r="F98" s="7"/>
      <c r="G98" s="7"/>
      <c r="H98" s="7"/>
      <c r="I98" s="6"/>
      <c r="M98" t="s">
        <v>231</v>
      </c>
      <c r="N98">
        <v>1</v>
      </c>
      <c r="O98">
        <v>1</v>
      </c>
      <c r="P98">
        <f>IFERROR(INDEX(Options!$A$178:$A$183,Report!O97),"error result")</f>
        <v>0</v>
      </c>
      <c r="Q98">
        <f>IFERROR(VLOOKUP(P98,Options!$A$179:$B$183,2,FALSE),0)</f>
        <v>0</v>
      </c>
      <c r="T98" s="4" t="b">
        <v>0</v>
      </c>
    </row>
    <row r="99" spans="2:20" x14ac:dyDescent="0.25">
      <c r="B99" s="6"/>
      <c r="C99" s="7"/>
      <c r="D99" s="7"/>
      <c r="E99" s="7"/>
      <c r="F99" s="7"/>
      <c r="G99" s="7"/>
      <c r="H99" s="7"/>
      <c r="I99" s="6"/>
      <c r="M99" t="s">
        <v>232</v>
      </c>
      <c r="N99">
        <v>0</v>
      </c>
      <c r="O99">
        <v>0</v>
      </c>
      <c r="P99">
        <f>IFERROR(INDEX(Options!$A$185:$A$191,Report!O98),"error result")</f>
        <v>0</v>
      </c>
      <c r="Q99">
        <f>IFERROR(VLOOKUP(P99,Options!$A$186:$B$191,2,FALSE),0)</f>
        <v>0</v>
      </c>
      <c r="T99" s="4">
        <v>0</v>
      </c>
    </row>
    <row r="100" spans="2:20" x14ac:dyDescent="0.25">
      <c r="B100" s="6"/>
      <c r="C100" s="7"/>
      <c r="D100" s="7"/>
      <c r="E100" s="7"/>
      <c r="F100" s="7"/>
      <c r="G100" s="7"/>
      <c r="H100" s="7"/>
      <c r="I100" s="6"/>
      <c r="M100" t="s">
        <v>233</v>
      </c>
      <c r="N100">
        <v>0</v>
      </c>
      <c r="O100">
        <v>0</v>
      </c>
      <c r="P100">
        <f>E170</f>
        <v>0</v>
      </c>
      <c r="T100" s="4">
        <v>0</v>
      </c>
    </row>
    <row r="101" spans="2:20" x14ac:dyDescent="0.25">
      <c r="B101" s="6"/>
      <c r="C101" s="7"/>
      <c r="D101" s="7"/>
      <c r="E101" s="7"/>
      <c r="F101" s="7"/>
      <c r="G101" s="7"/>
      <c r="H101" s="7"/>
      <c r="I101" s="6"/>
      <c r="M101" t="s">
        <v>234</v>
      </c>
      <c r="N101">
        <v>1</v>
      </c>
      <c r="O101">
        <v>1</v>
      </c>
      <c r="P101" t="str">
        <f>F170</f>
        <v/>
      </c>
      <c r="T101" s="4">
        <v>0</v>
      </c>
    </row>
    <row r="102" spans="2:20" x14ac:dyDescent="0.25">
      <c r="B102" s="6"/>
      <c r="C102" s="7"/>
      <c r="D102" s="7"/>
      <c r="E102" s="7"/>
      <c r="F102" s="7"/>
      <c r="G102" s="7"/>
      <c r="H102" s="7"/>
      <c r="I102" s="6"/>
      <c r="M102" t="s">
        <v>235</v>
      </c>
      <c r="N102">
        <v>1</v>
      </c>
      <c r="O102">
        <v>1</v>
      </c>
      <c r="P102" cm="1">
        <f t="array" ref="P102">INDEX(Options!$A$216:$A$220,Report!O101)</f>
        <v>0</v>
      </c>
      <c r="T102" s="4">
        <v>0</v>
      </c>
    </row>
    <row r="103" spans="2:20" x14ac:dyDescent="0.25">
      <c r="B103" s="6"/>
      <c r="C103" s="7"/>
      <c r="D103" s="7"/>
      <c r="E103" s="7"/>
      <c r="F103" s="7"/>
      <c r="G103" s="7"/>
      <c r="H103" s="7"/>
      <c r="I103" s="6"/>
      <c r="M103" t="s">
        <v>236</v>
      </c>
      <c r="N103">
        <v>1</v>
      </c>
      <c r="O103">
        <v>1</v>
      </c>
      <c r="P103" cm="1">
        <f t="array" ref="P103">INDEX(Options!$A$222:$A$226,O102)</f>
        <v>0</v>
      </c>
      <c r="T103" s="4">
        <v>0</v>
      </c>
    </row>
    <row r="104" spans="2:20" x14ac:dyDescent="0.25">
      <c r="B104" s="6"/>
      <c r="C104" s="7"/>
      <c r="D104" s="7"/>
      <c r="E104" s="7"/>
      <c r="F104" s="7"/>
      <c r="G104" s="7"/>
      <c r="H104" s="7"/>
      <c r="I104" s="6"/>
      <c r="M104" t="s">
        <v>237</v>
      </c>
      <c r="N104" t="b">
        <v>0</v>
      </c>
      <c r="O104" t="b">
        <v>0</v>
      </c>
      <c r="P104" cm="1">
        <f t="array" ref="P104">INDEX(Options!$A$228:$A$231,Report!O103)</f>
        <v>0</v>
      </c>
      <c r="T104" s="4">
        <v>0</v>
      </c>
    </row>
    <row r="105" spans="2:20" x14ac:dyDescent="0.25">
      <c r="B105" s="6"/>
      <c r="C105" s="6"/>
      <c r="D105" s="6"/>
      <c r="E105" s="6"/>
      <c r="F105" s="6"/>
      <c r="G105" s="6"/>
      <c r="H105" s="6"/>
      <c r="I105" s="6"/>
      <c r="M105" t="s">
        <v>238</v>
      </c>
      <c r="N105" t="b">
        <v>0</v>
      </c>
      <c r="O105" t="b">
        <v>0</v>
      </c>
      <c r="P105" t="b">
        <f>O104</f>
        <v>0</v>
      </c>
      <c r="T105" s="4">
        <v>0</v>
      </c>
    </row>
    <row r="106" spans="2:20" x14ac:dyDescent="0.25">
      <c r="B106" s="6"/>
      <c r="C106" s="7"/>
      <c r="D106" s="7"/>
      <c r="E106" s="7"/>
      <c r="F106" s="7"/>
      <c r="G106" s="7"/>
      <c r="H106" s="6"/>
      <c r="I106" s="6"/>
      <c r="M106" t="s">
        <v>239</v>
      </c>
      <c r="N106" t="b">
        <v>0</v>
      </c>
      <c r="O106" t="b">
        <v>0</v>
      </c>
      <c r="P106" t="b">
        <f t="shared" ref="P106:P108" si="4">O105</f>
        <v>0</v>
      </c>
      <c r="T106" s="4">
        <v>0</v>
      </c>
    </row>
    <row r="107" spans="2:20" x14ac:dyDescent="0.25">
      <c r="B107" s="6"/>
      <c r="C107" s="7"/>
      <c r="D107" s="7"/>
      <c r="E107" s="7"/>
      <c r="F107" s="7"/>
      <c r="G107" s="7"/>
      <c r="H107" s="6"/>
      <c r="I107" s="6"/>
      <c r="M107" t="s">
        <v>240</v>
      </c>
      <c r="N107" t="b">
        <v>0</v>
      </c>
      <c r="O107" t="b">
        <v>0</v>
      </c>
      <c r="P107" t="b">
        <f t="shared" si="4"/>
        <v>0</v>
      </c>
      <c r="T107" s="4" t="b">
        <v>0</v>
      </c>
    </row>
    <row r="108" spans="2:20" x14ac:dyDescent="0.25">
      <c r="B108" s="6"/>
      <c r="C108" s="7"/>
      <c r="D108" s="7"/>
      <c r="E108" s="7"/>
      <c r="F108" s="7"/>
      <c r="G108" s="7"/>
      <c r="H108" s="6"/>
      <c r="I108" s="6"/>
      <c r="M108" t="s">
        <v>241</v>
      </c>
      <c r="N108">
        <v>0</v>
      </c>
      <c r="O108">
        <v>0</v>
      </c>
      <c r="P108" t="b">
        <f t="shared" si="4"/>
        <v>0</v>
      </c>
      <c r="T108" s="4" t="b">
        <v>0</v>
      </c>
    </row>
    <row r="109" spans="2:20" x14ac:dyDescent="0.25">
      <c r="B109" s="6"/>
      <c r="C109" s="7"/>
      <c r="D109" s="7"/>
      <c r="E109" s="7"/>
      <c r="F109" s="7"/>
      <c r="G109" s="7"/>
      <c r="H109" s="6"/>
      <c r="I109" s="6"/>
      <c r="M109" t="s">
        <v>242</v>
      </c>
      <c r="N109">
        <v>1</v>
      </c>
      <c r="O109">
        <v>1</v>
      </c>
      <c r="P109">
        <f>E188</f>
        <v>0</v>
      </c>
      <c r="T109" s="4" t="b">
        <v>0</v>
      </c>
    </row>
    <row r="110" spans="2:20" x14ac:dyDescent="0.25">
      <c r="B110" s="6"/>
      <c r="C110" s="7"/>
      <c r="D110" s="7"/>
      <c r="E110" s="7"/>
      <c r="F110" s="7"/>
      <c r="G110" s="7"/>
      <c r="H110" s="6"/>
      <c r="I110" s="6"/>
      <c r="M110" t="s">
        <v>152</v>
      </c>
      <c r="P110">
        <f>INDEX(Options!A296:A298,Report!O109)</f>
        <v>0</v>
      </c>
      <c r="T110" s="4" t="b">
        <v>0</v>
      </c>
    </row>
    <row r="111" spans="2:20" x14ac:dyDescent="0.25">
      <c r="B111" s="6"/>
      <c r="C111" s="7"/>
      <c r="D111" s="7"/>
      <c r="E111" s="7"/>
      <c r="F111" s="7"/>
      <c r="G111" s="7"/>
      <c r="H111" s="6"/>
      <c r="I111" s="6"/>
      <c r="M111" t="s">
        <v>255</v>
      </c>
      <c r="T111" s="4">
        <v>0</v>
      </c>
    </row>
    <row r="112" spans="2:20" x14ac:dyDescent="0.25">
      <c r="B112" s="6"/>
      <c r="C112" s="7"/>
      <c r="D112" s="7"/>
      <c r="E112" s="7"/>
      <c r="F112" s="7"/>
      <c r="G112" s="7"/>
      <c r="H112" s="6"/>
      <c r="I112" s="6"/>
      <c r="T112" s="4">
        <v>0</v>
      </c>
    </row>
    <row r="113" spans="2:9" x14ac:dyDescent="0.25">
      <c r="B113" s="6"/>
      <c r="C113" s="6"/>
      <c r="D113" s="6"/>
      <c r="E113" s="6"/>
      <c r="F113" s="6"/>
      <c r="G113" s="6"/>
      <c r="H113" s="6"/>
      <c r="I113" s="6"/>
    </row>
    <row r="114" spans="2:9" x14ac:dyDescent="0.25">
      <c r="B114" s="6"/>
      <c r="C114" s="7"/>
      <c r="D114" s="7"/>
      <c r="E114" s="7"/>
      <c r="F114" s="7"/>
      <c r="G114" s="7"/>
      <c r="H114" s="7"/>
      <c r="I114" s="6"/>
    </row>
    <row r="115" spans="2:9" x14ac:dyDescent="0.25">
      <c r="B115" s="6"/>
      <c r="C115" s="7"/>
      <c r="D115" s="7"/>
      <c r="E115" s="18"/>
      <c r="F115" s="7"/>
      <c r="G115" s="7"/>
      <c r="H115" s="7"/>
      <c r="I115" s="6"/>
    </row>
    <row r="116" spans="2:9" x14ac:dyDescent="0.25">
      <c r="B116" s="6"/>
      <c r="C116" s="7"/>
      <c r="D116" s="7"/>
      <c r="E116" s="7"/>
      <c r="F116" s="7"/>
      <c r="G116" s="7"/>
      <c r="H116" s="7"/>
      <c r="I116" s="6"/>
    </row>
    <row r="117" spans="2:9" x14ac:dyDescent="0.25">
      <c r="B117" s="6"/>
      <c r="C117" s="7"/>
      <c r="D117" s="7"/>
      <c r="E117" s="18"/>
      <c r="F117" s="7"/>
      <c r="G117" s="18"/>
      <c r="H117" s="7"/>
      <c r="I117" s="6"/>
    </row>
    <row r="118" spans="2:9" x14ac:dyDescent="0.25">
      <c r="B118" s="6"/>
      <c r="C118" s="7"/>
      <c r="D118" s="7"/>
      <c r="E118" s="7"/>
      <c r="F118" s="7"/>
      <c r="G118" s="7"/>
      <c r="H118" s="7"/>
      <c r="I118" s="6"/>
    </row>
    <row r="119" spans="2:9" x14ac:dyDescent="0.25">
      <c r="B119" s="6"/>
      <c r="C119" s="7"/>
      <c r="D119" s="7"/>
      <c r="E119" s="7"/>
      <c r="F119" s="7"/>
      <c r="G119" s="7"/>
      <c r="H119" s="7"/>
      <c r="I119" s="6"/>
    </row>
    <row r="120" spans="2:9" x14ac:dyDescent="0.25">
      <c r="B120" s="6"/>
      <c r="C120" s="10"/>
      <c r="D120" s="10"/>
      <c r="E120" s="10"/>
      <c r="F120" s="10"/>
      <c r="G120" s="10"/>
      <c r="H120" s="10"/>
      <c r="I120" s="6"/>
    </row>
    <row r="121" spans="2:9" x14ac:dyDescent="0.25">
      <c r="B121" s="6"/>
      <c r="C121" s="10"/>
      <c r="D121" s="10"/>
      <c r="E121" s="10"/>
      <c r="F121" s="10"/>
      <c r="G121" s="10"/>
      <c r="H121" s="10"/>
      <c r="I121" s="6"/>
    </row>
    <row r="122" spans="2:9" x14ac:dyDescent="0.25">
      <c r="B122" s="6"/>
      <c r="C122" s="10"/>
      <c r="D122" s="10"/>
      <c r="E122" s="10"/>
      <c r="F122" s="10"/>
      <c r="G122" s="10"/>
      <c r="H122" s="10"/>
      <c r="I122" s="6"/>
    </row>
    <row r="123" spans="2:9" x14ac:dyDescent="0.25">
      <c r="B123" s="6"/>
      <c r="C123" s="10"/>
      <c r="D123" s="10"/>
      <c r="E123" s="10"/>
      <c r="F123" s="10"/>
      <c r="G123" s="10"/>
      <c r="H123" s="10"/>
      <c r="I123" s="6"/>
    </row>
    <row r="124" spans="2:9" x14ac:dyDescent="0.25">
      <c r="B124" s="6"/>
      <c r="C124" s="7"/>
      <c r="D124" s="7"/>
      <c r="E124" s="7"/>
      <c r="F124" s="7"/>
      <c r="G124" s="7"/>
      <c r="H124" s="7"/>
      <c r="I124" s="6"/>
    </row>
    <row r="125" spans="2:9" x14ac:dyDescent="0.25">
      <c r="B125" s="6"/>
      <c r="C125" s="7"/>
      <c r="D125" s="7"/>
      <c r="E125" s="7"/>
      <c r="F125" s="7"/>
      <c r="G125" s="7"/>
      <c r="H125" s="7"/>
      <c r="I125" s="6"/>
    </row>
    <row r="126" spans="2:9" x14ac:dyDescent="0.25">
      <c r="B126" s="6"/>
      <c r="C126" s="10"/>
      <c r="D126" s="10"/>
      <c r="E126" s="10"/>
      <c r="F126" s="10"/>
      <c r="G126" s="10"/>
      <c r="H126" s="10"/>
      <c r="I126" s="6"/>
    </row>
    <row r="127" spans="2:9" x14ac:dyDescent="0.25">
      <c r="B127" s="6"/>
      <c r="C127" s="10"/>
      <c r="D127" s="10"/>
      <c r="E127" s="10"/>
      <c r="F127" s="10"/>
      <c r="G127" s="10"/>
      <c r="H127" s="10"/>
      <c r="I127" s="6"/>
    </row>
    <row r="128" spans="2:9" x14ac:dyDescent="0.25">
      <c r="B128" s="6"/>
      <c r="C128" s="10"/>
      <c r="D128" s="10"/>
      <c r="E128" s="10"/>
      <c r="F128" s="10"/>
      <c r="G128" s="10"/>
      <c r="H128" s="10"/>
      <c r="I128" s="6"/>
    </row>
    <row r="129" spans="2:10" x14ac:dyDescent="0.25">
      <c r="B129" s="6"/>
      <c r="C129" s="10"/>
      <c r="D129" s="10"/>
      <c r="E129" s="10"/>
      <c r="F129" s="10"/>
      <c r="G129" s="10"/>
      <c r="H129" s="10"/>
      <c r="I129" s="6"/>
    </row>
    <row r="130" spans="2:10" x14ac:dyDescent="0.25">
      <c r="B130" s="6"/>
      <c r="C130" s="10"/>
      <c r="D130" s="10"/>
      <c r="E130" s="10"/>
      <c r="F130" s="10"/>
      <c r="G130" s="10"/>
      <c r="H130" s="10"/>
      <c r="I130" s="6"/>
    </row>
    <row r="131" spans="2:10" x14ac:dyDescent="0.25">
      <c r="B131" s="6"/>
      <c r="C131" s="7"/>
      <c r="D131" s="7"/>
      <c r="E131" s="7"/>
      <c r="F131" s="7"/>
      <c r="G131" s="7"/>
      <c r="H131" s="7"/>
      <c r="I131" s="6"/>
    </row>
    <row r="132" spans="2:10" x14ac:dyDescent="0.25">
      <c r="B132" s="6"/>
      <c r="C132" s="6"/>
      <c r="D132" s="6"/>
      <c r="E132" s="6"/>
      <c r="F132" s="6"/>
      <c r="G132" s="6"/>
      <c r="H132" s="6"/>
      <c r="I132" s="6"/>
    </row>
    <row r="134" spans="2:10" x14ac:dyDescent="0.25">
      <c r="B134" s="6"/>
      <c r="C134" s="6"/>
      <c r="D134" s="6"/>
      <c r="E134" s="6"/>
      <c r="F134" s="6"/>
      <c r="G134" s="6"/>
      <c r="H134" s="6"/>
      <c r="I134" s="6"/>
      <c r="J134" s="6"/>
    </row>
    <row r="135" spans="2:10" x14ac:dyDescent="0.25">
      <c r="B135" s="6"/>
      <c r="C135" s="7"/>
      <c r="D135" s="7"/>
      <c r="E135" s="7"/>
      <c r="F135" s="7"/>
      <c r="G135" s="7"/>
      <c r="H135" s="7"/>
      <c r="I135" s="7"/>
      <c r="J135" s="6"/>
    </row>
    <row r="136" spans="2:10" x14ac:dyDescent="0.25">
      <c r="B136" s="6"/>
      <c r="C136" s="7"/>
      <c r="D136" s="7"/>
      <c r="E136" s="7"/>
      <c r="F136" s="7"/>
      <c r="G136" s="7"/>
      <c r="H136" s="7"/>
      <c r="I136" s="7"/>
      <c r="J136" s="6"/>
    </row>
    <row r="137" spans="2:10" x14ac:dyDescent="0.25">
      <c r="B137" s="6"/>
      <c r="C137" s="7"/>
      <c r="D137" s="7"/>
      <c r="E137" s="7"/>
      <c r="F137" s="7"/>
      <c r="G137" s="7"/>
      <c r="H137" s="7"/>
      <c r="I137" s="7"/>
      <c r="J137" s="6"/>
    </row>
    <row r="138" spans="2:10" x14ac:dyDescent="0.25">
      <c r="B138" s="6"/>
      <c r="C138" s="7"/>
      <c r="D138" s="7"/>
      <c r="E138" s="7"/>
      <c r="F138" s="7"/>
      <c r="G138" s="7"/>
      <c r="H138" s="7"/>
      <c r="I138" s="7"/>
      <c r="J138" s="6"/>
    </row>
    <row r="139" spans="2:10" x14ac:dyDescent="0.25">
      <c r="B139" s="6"/>
      <c r="C139" s="7"/>
      <c r="D139" s="7"/>
      <c r="E139" s="7"/>
      <c r="F139" s="7"/>
      <c r="G139" s="7"/>
      <c r="H139" s="7"/>
      <c r="I139" s="7"/>
      <c r="J139" s="6"/>
    </row>
    <row r="140" spans="2:10" x14ac:dyDescent="0.25">
      <c r="B140" s="6"/>
      <c r="C140" s="7"/>
      <c r="D140" s="7"/>
      <c r="E140" s="7"/>
      <c r="F140" s="7"/>
      <c r="G140" s="7"/>
      <c r="H140" s="7"/>
      <c r="I140" s="7"/>
      <c r="J140" s="6"/>
    </row>
    <row r="141" spans="2:10" x14ac:dyDescent="0.25">
      <c r="B141" s="6"/>
      <c r="C141" s="7"/>
      <c r="D141" s="7"/>
      <c r="E141" s="7"/>
      <c r="F141" s="7"/>
      <c r="G141" s="7"/>
      <c r="H141" s="7"/>
      <c r="I141" s="7"/>
      <c r="J141" s="6"/>
    </row>
    <row r="142" spans="2:10" x14ac:dyDescent="0.25">
      <c r="B142" s="6"/>
      <c r="C142" s="7"/>
      <c r="D142" s="7"/>
      <c r="E142" s="7"/>
      <c r="F142" s="7"/>
      <c r="G142" s="7"/>
      <c r="H142" s="7"/>
      <c r="I142" s="7"/>
      <c r="J142" s="6"/>
    </row>
    <row r="143" spans="2:10" x14ac:dyDescent="0.25">
      <c r="B143" s="6"/>
      <c r="C143" s="7"/>
      <c r="D143" s="7"/>
      <c r="E143" s="7"/>
      <c r="F143" s="7"/>
      <c r="G143" s="7"/>
      <c r="H143" s="7"/>
      <c r="I143" s="7"/>
      <c r="J143" s="6"/>
    </row>
    <row r="144" spans="2:10" x14ac:dyDescent="0.25">
      <c r="B144" s="6"/>
      <c r="C144" s="7"/>
      <c r="D144" s="7"/>
      <c r="E144" s="7"/>
      <c r="F144" s="7"/>
      <c r="G144" s="7"/>
      <c r="H144" s="7"/>
      <c r="I144" s="7"/>
      <c r="J144" s="6"/>
    </row>
    <row r="145" spans="2:10" x14ac:dyDescent="0.25">
      <c r="B145" s="6"/>
      <c r="C145" s="7"/>
      <c r="D145" s="7"/>
      <c r="E145" s="7"/>
      <c r="F145" s="7"/>
      <c r="G145" s="7"/>
      <c r="H145" s="7"/>
      <c r="I145" s="7"/>
      <c r="J145" s="6"/>
    </row>
    <row r="146" spans="2:10" x14ac:dyDescent="0.25">
      <c r="B146" s="6"/>
      <c r="C146" s="7"/>
      <c r="D146" s="7"/>
      <c r="E146" s="7"/>
      <c r="F146" s="7"/>
      <c r="G146" s="7"/>
      <c r="H146" s="7"/>
      <c r="I146" s="7"/>
      <c r="J146" s="6"/>
    </row>
    <row r="147" spans="2:10" x14ac:dyDescent="0.25">
      <c r="B147" s="6"/>
      <c r="C147" s="6"/>
      <c r="D147" s="6"/>
      <c r="E147" s="6"/>
      <c r="F147" s="6"/>
      <c r="G147" s="6"/>
      <c r="H147" s="6"/>
      <c r="I147" s="6"/>
      <c r="J147" s="6"/>
    </row>
    <row r="148" spans="2:10" x14ac:dyDescent="0.25">
      <c r="B148" s="6"/>
      <c r="C148" s="7"/>
      <c r="D148" s="7"/>
      <c r="E148" s="7"/>
      <c r="F148" s="7"/>
      <c r="G148" s="7"/>
      <c r="H148" s="7"/>
      <c r="I148" s="6"/>
      <c r="J148" s="6"/>
    </row>
    <row r="149" spans="2:10" x14ac:dyDescent="0.25">
      <c r="B149" s="6"/>
      <c r="C149" s="10"/>
      <c r="D149" s="10"/>
      <c r="E149" s="10"/>
      <c r="F149" s="10"/>
      <c r="G149" s="10"/>
      <c r="H149" s="10"/>
      <c r="I149" s="6"/>
      <c r="J149" s="6"/>
    </row>
    <row r="150" spans="2:10" x14ac:dyDescent="0.25">
      <c r="B150" s="6"/>
      <c r="C150" s="10"/>
      <c r="D150" s="10"/>
      <c r="E150" s="10"/>
      <c r="F150" s="10"/>
      <c r="G150" s="10"/>
      <c r="H150" s="10"/>
      <c r="I150" s="6"/>
      <c r="J150" s="6"/>
    </row>
    <row r="151" spans="2:10" x14ac:dyDescent="0.25">
      <c r="B151" s="6"/>
      <c r="C151" s="10"/>
      <c r="D151" s="10"/>
      <c r="E151" s="10"/>
      <c r="F151" s="10"/>
      <c r="G151" s="10"/>
      <c r="H151" s="10"/>
      <c r="I151" s="6"/>
      <c r="J151" s="6"/>
    </row>
    <row r="152" spans="2:10" x14ac:dyDescent="0.25">
      <c r="B152" s="6"/>
      <c r="C152" s="10"/>
      <c r="D152" s="10"/>
      <c r="E152" s="10"/>
      <c r="F152" s="10"/>
      <c r="G152" s="10"/>
      <c r="H152" s="10"/>
      <c r="I152" s="6"/>
      <c r="J152" s="6"/>
    </row>
    <row r="153" spans="2:10" x14ac:dyDescent="0.25">
      <c r="B153" s="6"/>
      <c r="C153" s="6"/>
      <c r="D153" s="6"/>
      <c r="E153" s="6"/>
      <c r="F153" s="6"/>
      <c r="G153" s="6"/>
      <c r="H153" s="6"/>
      <c r="I153" s="6"/>
      <c r="J153" s="6"/>
    </row>
    <row r="154" spans="2:10" x14ac:dyDescent="0.25">
      <c r="B154" s="6"/>
      <c r="C154" s="7"/>
      <c r="D154" s="7"/>
      <c r="E154" s="7"/>
      <c r="F154" s="7"/>
      <c r="G154" s="6"/>
      <c r="H154" s="6"/>
      <c r="I154" s="6"/>
      <c r="J154" s="6"/>
    </row>
    <row r="155" spans="2:10" x14ac:dyDescent="0.25">
      <c r="B155" s="6"/>
      <c r="C155" s="7"/>
      <c r="D155" s="7"/>
      <c r="E155" s="7"/>
      <c r="F155" s="7"/>
      <c r="G155" s="6"/>
      <c r="H155" s="6"/>
      <c r="I155" s="6"/>
      <c r="J155" s="6"/>
    </row>
    <row r="156" spans="2:10" x14ac:dyDescent="0.25">
      <c r="B156" s="6"/>
      <c r="C156" s="7"/>
      <c r="D156" s="7"/>
      <c r="E156" s="7"/>
      <c r="F156" s="7"/>
      <c r="G156" s="6"/>
      <c r="H156" s="6"/>
      <c r="I156" s="6"/>
      <c r="J156" s="6"/>
    </row>
    <row r="157" spans="2:10" x14ac:dyDescent="0.25">
      <c r="B157" s="6"/>
      <c r="C157" s="6"/>
      <c r="D157" s="6"/>
      <c r="E157" s="6"/>
      <c r="F157" s="6"/>
      <c r="G157" s="6"/>
      <c r="H157" s="6"/>
      <c r="I157" s="6"/>
      <c r="J157" s="6"/>
    </row>
    <row r="158" spans="2:10" x14ac:dyDescent="0.25">
      <c r="B158" s="6"/>
      <c r="C158" s="7"/>
      <c r="D158" s="7"/>
      <c r="E158" s="7"/>
      <c r="F158" s="7"/>
      <c r="G158" s="6"/>
      <c r="H158" s="6"/>
      <c r="I158" s="6"/>
      <c r="J158" s="6"/>
    </row>
    <row r="159" spans="2:10" x14ac:dyDescent="0.25">
      <c r="B159" s="6"/>
      <c r="C159" s="7"/>
      <c r="D159" s="7"/>
      <c r="E159" s="7"/>
      <c r="F159" s="7"/>
      <c r="G159" s="6"/>
      <c r="H159" s="6"/>
      <c r="I159" s="6"/>
      <c r="J159" s="6"/>
    </row>
    <row r="160" spans="2:10" x14ac:dyDescent="0.25">
      <c r="B160" s="6"/>
      <c r="C160" s="7"/>
      <c r="D160" s="7"/>
      <c r="E160" s="7"/>
      <c r="F160" s="7"/>
      <c r="G160" s="6"/>
      <c r="H160" s="6"/>
      <c r="I160" s="6"/>
      <c r="J160" s="6"/>
    </row>
    <row r="161" spans="2:10" x14ac:dyDescent="0.25">
      <c r="B161" s="6"/>
      <c r="C161" s="6"/>
      <c r="D161" s="6"/>
      <c r="E161" s="6"/>
      <c r="F161" s="6"/>
      <c r="G161" s="6"/>
      <c r="H161" s="6"/>
      <c r="I161" s="6"/>
      <c r="J161" s="6"/>
    </row>
    <row r="162" spans="2:10" x14ac:dyDescent="0.25">
      <c r="B162" s="6"/>
      <c r="C162" s="7"/>
      <c r="D162" s="7"/>
      <c r="E162" s="7"/>
      <c r="F162" s="7"/>
      <c r="G162" s="7"/>
      <c r="H162" s="6"/>
      <c r="I162" s="6"/>
      <c r="J162" s="6"/>
    </row>
    <row r="163" spans="2:10" x14ac:dyDescent="0.25">
      <c r="B163" s="6"/>
      <c r="C163" s="7"/>
      <c r="D163" s="7"/>
      <c r="E163" s="7"/>
      <c r="F163" s="7"/>
      <c r="G163" s="7"/>
      <c r="H163" s="6"/>
      <c r="I163" s="6"/>
      <c r="J163" s="6"/>
    </row>
    <row r="164" spans="2:10" x14ac:dyDescent="0.25">
      <c r="B164" s="6"/>
      <c r="C164" s="7"/>
      <c r="D164" s="7"/>
      <c r="E164" s="7"/>
      <c r="F164" s="7"/>
      <c r="G164" s="7"/>
      <c r="H164" s="6"/>
      <c r="I164" s="6"/>
      <c r="J164" s="6"/>
    </row>
    <row r="165" spans="2:10" x14ac:dyDescent="0.25">
      <c r="B165" s="6"/>
      <c r="C165" s="7"/>
      <c r="D165" s="7"/>
      <c r="E165" s="7"/>
      <c r="F165" s="7"/>
      <c r="G165" s="7"/>
      <c r="H165" s="6"/>
      <c r="I165" s="6"/>
      <c r="J165" s="6"/>
    </row>
    <row r="166" spans="2:10" x14ac:dyDescent="0.25">
      <c r="B166" s="6"/>
      <c r="C166" s="7"/>
      <c r="D166" s="7"/>
      <c r="E166" s="7"/>
      <c r="F166" s="7"/>
      <c r="G166" s="7"/>
      <c r="H166" s="6"/>
      <c r="I166" s="6"/>
      <c r="J166" s="6"/>
    </row>
    <row r="167" spans="2:10" x14ac:dyDescent="0.25">
      <c r="B167" s="6"/>
      <c r="C167" s="7"/>
      <c r="D167" s="7"/>
      <c r="E167" s="7"/>
      <c r="F167" s="7"/>
      <c r="G167" s="7"/>
      <c r="H167" s="6"/>
      <c r="I167" s="6"/>
      <c r="J167" s="6"/>
    </row>
    <row r="168" spans="2:10" x14ac:dyDescent="0.25">
      <c r="B168" s="6"/>
      <c r="C168" s="7"/>
      <c r="D168" s="7"/>
      <c r="E168" s="7"/>
      <c r="F168" s="7"/>
      <c r="G168" s="7"/>
      <c r="H168" s="6"/>
      <c r="I168" s="6"/>
      <c r="J168" s="6"/>
    </row>
    <row r="169" spans="2:10" x14ac:dyDescent="0.25">
      <c r="B169" s="6"/>
      <c r="C169" s="7"/>
      <c r="D169" s="7"/>
      <c r="E169" s="7"/>
      <c r="F169" s="7"/>
      <c r="G169" s="7"/>
      <c r="H169" s="6"/>
      <c r="I169" s="6"/>
      <c r="J169" s="6"/>
    </row>
    <row r="170" spans="2:10" x14ac:dyDescent="0.25">
      <c r="B170" s="6"/>
      <c r="C170" s="7"/>
      <c r="D170" s="7"/>
      <c r="E170" s="7">
        <f>SUM(Q97,Q98,Q99)</f>
        <v>0</v>
      </c>
      <c r="F170" s="8" t="str">
        <f>IF(E170=0,"",IF(E170&gt;=Options!$A$193,Options!$B$193,IF(E170&gt;=Options!$A$194,Options!$B$194,Options!$B$195)))</f>
        <v/>
      </c>
      <c r="G170" s="7"/>
      <c r="H170" s="6"/>
      <c r="I170" s="6"/>
      <c r="J170" s="6"/>
    </row>
    <row r="171" spans="2:10" x14ac:dyDescent="0.25">
      <c r="B171" s="6"/>
      <c r="C171" s="7"/>
      <c r="D171" s="7"/>
      <c r="E171" s="7"/>
      <c r="F171" s="7"/>
      <c r="G171" s="7"/>
      <c r="H171" s="6"/>
      <c r="I171" s="6"/>
      <c r="J171" s="6"/>
    </row>
    <row r="172" spans="2:10" x14ac:dyDescent="0.25">
      <c r="B172" s="6"/>
      <c r="C172" s="7"/>
      <c r="D172" s="7"/>
      <c r="E172" s="7"/>
      <c r="F172" s="7"/>
      <c r="G172" s="7"/>
      <c r="H172" s="6"/>
      <c r="I172" s="6"/>
      <c r="J172" s="6"/>
    </row>
    <row r="173" spans="2:10" x14ac:dyDescent="0.25">
      <c r="B173" s="6"/>
      <c r="C173" s="6"/>
      <c r="D173" s="6"/>
      <c r="E173" s="6"/>
      <c r="F173" s="6"/>
      <c r="G173" s="6"/>
      <c r="H173" s="6"/>
      <c r="I173" s="6"/>
      <c r="J173" s="6"/>
    </row>
    <row r="174" spans="2:10" x14ac:dyDescent="0.25">
      <c r="B174" s="6"/>
      <c r="C174" s="7"/>
      <c r="D174" s="7"/>
      <c r="E174" s="7"/>
      <c r="F174" s="7"/>
      <c r="G174" s="7"/>
      <c r="H174" s="7"/>
      <c r="I174" s="7"/>
      <c r="J174" s="6"/>
    </row>
    <row r="175" spans="2:10" x14ac:dyDescent="0.25">
      <c r="B175" s="6"/>
      <c r="C175" s="7"/>
      <c r="D175" s="7"/>
      <c r="E175" s="7"/>
      <c r="F175" s="7"/>
      <c r="G175" s="7"/>
      <c r="H175" s="7"/>
      <c r="I175" s="7"/>
      <c r="J175" s="6"/>
    </row>
    <row r="176" spans="2:10" x14ac:dyDescent="0.25">
      <c r="B176" s="6"/>
      <c r="C176" s="7"/>
      <c r="D176" s="7"/>
      <c r="E176" s="7"/>
      <c r="F176" s="7"/>
      <c r="G176" s="7"/>
      <c r="H176" s="7"/>
      <c r="I176" s="7"/>
      <c r="J176" s="6"/>
    </row>
    <row r="177" spans="2:10" x14ac:dyDescent="0.25">
      <c r="B177" s="6"/>
      <c r="C177" s="7"/>
      <c r="D177" s="7"/>
      <c r="E177" s="7"/>
      <c r="F177" s="7"/>
      <c r="G177" s="7"/>
      <c r="H177" s="7"/>
      <c r="I177" s="7"/>
      <c r="J177" s="6"/>
    </row>
    <row r="178" spans="2:10" x14ac:dyDescent="0.25">
      <c r="B178" s="6"/>
      <c r="C178" s="7"/>
      <c r="D178" s="7"/>
      <c r="E178" s="7"/>
      <c r="F178" s="7"/>
      <c r="G178" s="7"/>
      <c r="H178" s="7"/>
      <c r="I178" s="7"/>
      <c r="J178" s="6"/>
    </row>
    <row r="179" spans="2:10" x14ac:dyDescent="0.25">
      <c r="B179" s="6"/>
      <c r="C179" s="7"/>
      <c r="D179" s="7"/>
      <c r="E179" s="7"/>
      <c r="F179" s="7"/>
      <c r="G179" s="7"/>
      <c r="H179" s="7"/>
      <c r="I179" s="7"/>
      <c r="J179" s="6"/>
    </row>
    <row r="180" spans="2:10" x14ac:dyDescent="0.25">
      <c r="B180" s="6"/>
      <c r="C180" s="7"/>
      <c r="D180" s="7"/>
      <c r="E180" s="7"/>
      <c r="F180" s="7"/>
      <c r="G180" s="7"/>
      <c r="H180" s="7"/>
      <c r="I180" s="7"/>
      <c r="J180" s="6"/>
    </row>
    <row r="181" spans="2:10" x14ac:dyDescent="0.25">
      <c r="B181" s="6"/>
      <c r="C181" s="6"/>
      <c r="D181" s="6"/>
      <c r="E181" s="6"/>
      <c r="F181" s="6"/>
      <c r="G181" s="6"/>
      <c r="H181" s="6"/>
      <c r="I181" s="6"/>
      <c r="J181" s="6"/>
    </row>
    <row r="182" spans="2:10" x14ac:dyDescent="0.25">
      <c r="B182" s="6"/>
      <c r="C182" s="7"/>
      <c r="D182" s="7"/>
      <c r="E182" s="7"/>
      <c r="F182" s="6"/>
      <c r="G182" s="6"/>
      <c r="H182" s="6"/>
      <c r="I182" s="6"/>
      <c r="J182" s="6"/>
    </row>
    <row r="183" spans="2:10" x14ac:dyDescent="0.25">
      <c r="B183" s="6"/>
      <c r="C183" s="7"/>
      <c r="D183" s="7"/>
      <c r="E183" s="7"/>
      <c r="F183" s="6"/>
      <c r="G183" s="6"/>
      <c r="H183" s="6"/>
      <c r="I183" s="6"/>
      <c r="J183" s="6"/>
    </row>
    <row r="184" spans="2:10" x14ac:dyDescent="0.25">
      <c r="B184" s="6"/>
      <c r="C184" s="7"/>
      <c r="D184" s="7"/>
      <c r="E184" s="7"/>
      <c r="F184" s="6"/>
      <c r="G184" s="6"/>
      <c r="H184" s="6"/>
      <c r="I184" s="6"/>
      <c r="J184" s="6"/>
    </row>
    <row r="185" spans="2:10" x14ac:dyDescent="0.25">
      <c r="B185" s="6"/>
      <c r="C185" s="7"/>
      <c r="D185" s="7"/>
      <c r="E185" s="7"/>
      <c r="F185" s="6"/>
      <c r="G185" s="6"/>
      <c r="H185" s="6"/>
      <c r="I185" s="6"/>
      <c r="J185" s="6"/>
    </row>
    <row r="186" spans="2:10" x14ac:dyDescent="0.25">
      <c r="B186" s="6"/>
      <c r="C186" s="7"/>
      <c r="D186" s="7"/>
      <c r="E186" s="7"/>
      <c r="F186" s="6"/>
      <c r="G186" s="6"/>
      <c r="H186" s="6"/>
      <c r="I186" s="6"/>
      <c r="J186" s="6"/>
    </row>
    <row r="187" spans="2:10" x14ac:dyDescent="0.25">
      <c r="B187" s="6"/>
      <c r="C187" s="7"/>
      <c r="D187" s="7"/>
      <c r="E187" s="7"/>
      <c r="F187" s="6"/>
      <c r="G187" s="6"/>
      <c r="H187" s="6"/>
      <c r="I187" s="6"/>
      <c r="J187" s="6"/>
    </row>
    <row r="188" spans="2:10" x14ac:dyDescent="0.25">
      <c r="B188" s="6"/>
      <c r="C188" s="7"/>
      <c r="D188" s="7"/>
      <c r="E188" s="7">
        <f>COUNTIF(O104:O107,TRUE)</f>
        <v>0</v>
      </c>
      <c r="F188" s="6"/>
      <c r="G188" s="6"/>
      <c r="H188" s="6"/>
      <c r="I188" s="6"/>
      <c r="J188" s="6"/>
    </row>
    <row r="189" spans="2:10" x14ac:dyDescent="0.25">
      <c r="B189" s="6"/>
      <c r="C189" s="6"/>
      <c r="D189" s="6"/>
      <c r="E189" s="6"/>
      <c r="F189" s="6"/>
      <c r="G189" s="6"/>
      <c r="H189" s="6"/>
      <c r="I189" s="6"/>
      <c r="J189" s="6"/>
    </row>
    <row r="191" spans="2:10" x14ac:dyDescent="0.25">
      <c r="B191" s="6"/>
      <c r="C191" s="6"/>
      <c r="D191" s="6"/>
      <c r="E191" s="6"/>
      <c r="F191" s="6"/>
    </row>
    <row r="192" spans="2:10" x14ac:dyDescent="0.25">
      <c r="B192" s="6"/>
      <c r="C192" s="6"/>
      <c r="D192" s="6"/>
      <c r="E192" s="6"/>
      <c r="F192" s="6"/>
    </row>
    <row r="193" spans="2:6" x14ac:dyDescent="0.25">
      <c r="B193" s="6"/>
      <c r="C193" s="6"/>
      <c r="D193" s="6"/>
      <c r="E193" s="6"/>
      <c r="F193" s="6"/>
    </row>
  </sheetData>
  <protectedRanges>
    <protectedRange algorithmName="SHA-512" hashValue="S66WU2iqSW60hQPWl/yX/dXYrrLGZHs8swCcrveV7IhGAabPZOAjRVsPAWZqzRQ5gTgoKgUBkzTtXqBmuT/pmg==" saltValue="RUjcUZk1KQRhNf2pSaa0pg==" spinCount="100000" sqref="O110:O1048576 D9 C37 C43 E88 E94 E115 E117 G117 C120 C126 C149 E188 E170 P1:Q1048576" name="Nurse" securityDescriptor="O:WDG:WDD:(A;;CC;;;WD)"/>
  </protectedRanges>
  <mergeCells count="7">
    <mergeCell ref="C149:H152"/>
    <mergeCell ref="C37:H40"/>
    <mergeCell ref="C43:H46"/>
    <mergeCell ref="E88:G90"/>
    <mergeCell ref="E94:G95"/>
    <mergeCell ref="C120:H123"/>
    <mergeCell ref="C126:H1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4" name="Group Box 5">
              <controlPr defaultSize="0" autoFill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Option Button 6">
              <controlPr locked="0" defaultSize="0" autoFill="0" autoLine="0" autoPict="0">
                <anchor moveWithCells="1">
                  <from>
                    <xdr:col>2</xdr:col>
                    <xdr:colOff>123825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Option Button 9">
              <controlPr locked="0"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485775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Fill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Drop Down 13">
              <controlPr locked="0" defaultSize="0" autoLine="0" autoPict="0">
                <anchor moveWithCells="1">
                  <from>
                    <xdr:col>2</xdr:col>
                    <xdr:colOff>371475</xdr:colOff>
                    <xdr:row>12</xdr:row>
                    <xdr:rowOff>0</xdr:rowOff>
                  </from>
                  <to>
                    <xdr:col>5</xdr:col>
                    <xdr:colOff>371475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Group Box 14">
              <controlPr defaultSize="0" autoFill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Drop Down 15">
              <controlPr locked="0" defaultSize="0" autoLine="0" autoPict="0">
                <anchor moveWithCells="1">
                  <from>
                    <xdr:col>2</xdr:col>
                    <xdr:colOff>409575</xdr:colOff>
                    <xdr:row>15</xdr:row>
                    <xdr:rowOff>190500</xdr:rowOff>
                  </from>
                  <to>
                    <xdr:col>5</xdr:col>
                    <xdr:colOff>200025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1" name="Group Box 17">
              <controlPr defaultSize="0" autoFill="0" autoPict="0">
                <anchor moveWithCells="1">
                  <from>
                    <xdr:col>2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2" name="Drop Down 19">
              <controlPr defaultSize="0" autoLine="0" autoPict="0">
                <anchor moveWithCells="1">
                  <from>
                    <xdr:col>2</xdr:col>
                    <xdr:colOff>219075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3" name="Group Box 20">
              <controlPr defaultSize="0" autoFill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4" name="Label 23">
              <controlPr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0</xdr:rowOff>
                  </from>
                  <to>
                    <xdr:col>3</xdr:col>
                    <xdr:colOff>400050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5" name="Label 24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58</xdr:row>
                    <xdr:rowOff>0</xdr:rowOff>
                  </from>
                  <to>
                    <xdr:col>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6" name="Label 25">
              <controlPr defaultSize="0" autoFill="0" autoLine="0" autoPict="0">
                <anchor moveWithCells="1">
                  <from>
                    <xdr:col>2</xdr:col>
                    <xdr:colOff>0</xdr:colOff>
                    <xdr:row>60</xdr:row>
                    <xdr:rowOff>0</xdr:rowOff>
                  </from>
                  <to>
                    <xdr:col>3</xdr:col>
                    <xdr:colOff>400050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17" name="Drop Down 26">
              <controlPr defaultSize="0" autoLine="0" autoPict="0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18" name="Drop Down 27">
              <controlPr defaultSize="0" autoLine="0" autoPict="0">
                <anchor moveWithCells="1">
                  <from>
                    <xdr:col>4</xdr:col>
                    <xdr:colOff>0</xdr:colOff>
                    <xdr:row>57</xdr:row>
                    <xdr:rowOff>180975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19" name="Drop Down 28">
              <controlPr defaultSize="0" autoLine="0" autoPict="0">
                <anchor moveWithCells="1">
                  <from>
                    <xdr:col>4</xdr:col>
                    <xdr:colOff>0</xdr:colOff>
                    <xdr:row>59</xdr:row>
                    <xdr:rowOff>180975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0" name="Group Box 30">
              <controlPr defaultSize="0" autoFill="0" autoPict="0">
                <anchor moveWithCells="1">
                  <from>
                    <xdr:col>2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1" name="Label 32">
              <controlPr defaultSize="0" autoFill="0" autoLine="0" autoPict="0">
                <anchor moveWithCells="1">
                  <from>
                    <xdr:col>2</xdr:col>
                    <xdr:colOff>0</xdr:colOff>
                    <xdr:row>67</xdr:row>
                    <xdr:rowOff>0</xdr:rowOff>
                  </from>
                  <to>
                    <xdr:col>3</xdr:col>
                    <xdr:colOff>400050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2" name="Label 33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69</xdr:row>
                    <xdr:rowOff>9525</xdr:rowOff>
                  </from>
                  <to>
                    <xdr:col>3</xdr:col>
                    <xdr:colOff>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3" name="Label 34">
              <controlPr defaultSize="0" autoFill="0" autoLine="0" autoPict="0">
                <anchor moveWithCells="1">
                  <from>
                    <xdr:col>2</xdr:col>
                    <xdr:colOff>0</xdr:colOff>
                    <xdr:row>71</xdr:row>
                    <xdr:rowOff>0</xdr:rowOff>
                  </from>
                  <to>
                    <xdr:col>3</xdr:col>
                    <xdr:colOff>400050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24" name="Drop Down 35">
              <controlPr defaultSize="0" autoLine="0" autoPict="0">
                <anchor mov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8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25" name="Drop Down 37">
              <controlPr defaultSize="0" autoLine="0" autoPict="0">
                <anchor moveWithCells="1">
                  <from>
                    <xdr:col>3</xdr:col>
                    <xdr:colOff>0</xdr:colOff>
                    <xdr:row>70</xdr:row>
                    <xdr:rowOff>180975</xdr:rowOff>
                  </from>
                  <to>
                    <xdr:col>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26" name="Check Box 40">
              <controlPr defaultSize="0" autoFill="0" autoLine="0" autoPict="0">
                <anchor moveWithCells="1">
                  <from>
                    <xdr:col>2</xdr:col>
                    <xdr:colOff>0</xdr:colOff>
                    <xdr:row>75</xdr:row>
                    <xdr:rowOff>0</xdr:rowOff>
                  </from>
                  <to>
                    <xdr:col>3</xdr:col>
                    <xdr:colOff>400050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27" name="Check Box 41">
              <controlPr defaultSize="0" autoFill="0" autoLine="0" autoPict="0">
                <anchor moveWithCells="1">
                  <from>
                    <xdr:col>2</xdr:col>
                    <xdr:colOff>0</xdr:colOff>
                    <xdr:row>76</xdr:row>
                    <xdr:rowOff>0</xdr:rowOff>
                  </from>
                  <to>
                    <xdr:col>3</xdr:col>
                    <xdr:colOff>200025</xdr:colOff>
                    <xdr:row>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28" name="Check Box 42">
              <controlPr defaultSize="0" autoFill="0" autoLine="0" autoPict="0">
                <anchor moveWithCells="1">
                  <from>
                    <xdr:col>2</xdr:col>
                    <xdr:colOff>0</xdr:colOff>
                    <xdr:row>77</xdr:row>
                    <xdr:rowOff>0</xdr:rowOff>
                  </from>
                  <to>
                    <xdr:col>3</xdr:col>
                    <xdr:colOff>400050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29" name="Check Box 43">
              <controlPr defaultSize="0" autoFill="0" autoLine="0" autoPict="0">
                <anchor moveWithCells="1">
                  <from>
                    <xdr:col>2</xdr:col>
                    <xdr:colOff>0</xdr:colOff>
                    <xdr:row>78</xdr:row>
                    <xdr:rowOff>0</xdr:rowOff>
                  </from>
                  <to>
                    <xdr:col>3</xdr:col>
                    <xdr:colOff>400050</xdr:colOff>
                    <xdr:row>79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30" name="Label 45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80</xdr:row>
                    <xdr:rowOff>0</xdr:rowOff>
                  </from>
                  <to>
                    <xdr:col>3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31" name="Group Box 46">
              <controlPr defaultSize="0" autoFill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32" name="Check Box 48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581025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33" name="Check Box 49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581025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34" name="Check Box 50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180975</xdr:rowOff>
                  </from>
                  <to>
                    <xdr:col>3</xdr:col>
                    <xdr:colOff>581025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35" name="Check Box 51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180975</xdr:rowOff>
                  </from>
                  <to>
                    <xdr:col>3</xdr:col>
                    <xdr:colOff>581025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36" name="Check Box 52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180975</xdr:rowOff>
                  </from>
                  <to>
                    <xdr:col>3</xdr:col>
                    <xdr:colOff>581025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37" name="Check Box 5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171450</xdr:rowOff>
                  </from>
                  <to>
                    <xdr:col>3</xdr:col>
                    <xdr:colOff>581025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38" name="Check Box 54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171450</xdr:rowOff>
                  </from>
                  <to>
                    <xdr:col>3</xdr:col>
                    <xdr:colOff>581025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39" name="Check Box 55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171450</xdr:rowOff>
                  </from>
                  <to>
                    <xdr:col>3</xdr:col>
                    <xdr:colOff>581025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40" name="Check Box 56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161925</xdr:rowOff>
                  </from>
                  <to>
                    <xdr:col>3</xdr:col>
                    <xdr:colOff>581025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41" name="Check Box 57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161925</xdr:rowOff>
                  </from>
                  <to>
                    <xdr:col>3</xdr:col>
                    <xdr:colOff>581025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42" name="Check Box 58">
              <controlPr defaultSize="0" autoFill="0" autoLine="0" autoPict="0">
                <anchor moveWithCells="1">
                  <from>
                    <xdr:col>4</xdr:col>
                    <xdr:colOff>152400</xdr:colOff>
                    <xdr:row>23</xdr:row>
                    <xdr:rowOff>0</xdr:rowOff>
                  </from>
                  <to>
                    <xdr:col>6</xdr:col>
                    <xdr:colOff>114300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43" name="Check Box 59">
              <controlPr defaultSize="0" autoFill="0" autoLine="0" autoPict="0">
                <anchor moveWithCells="1">
                  <from>
                    <xdr:col>4</xdr:col>
                    <xdr:colOff>152400</xdr:colOff>
                    <xdr:row>24</xdr:row>
                    <xdr:rowOff>0</xdr:rowOff>
                  </from>
                  <to>
                    <xdr:col>6</xdr:col>
                    <xdr:colOff>114300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44" name="Check Box 60">
              <controlPr defaultSize="0" autoFill="0" autoLine="0" autoPict="0">
                <anchor moveWithCells="1">
                  <from>
                    <xdr:col>4</xdr:col>
                    <xdr:colOff>152400</xdr:colOff>
                    <xdr:row>24</xdr:row>
                    <xdr:rowOff>180975</xdr:rowOff>
                  </from>
                  <to>
                    <xdr:col>6</xdr:col>
                    <xdr:colOff>114300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45" name="Check Box 61">
              <controlPr defaultSize="0" autoFill="0" autoLine="0" autoPict="0">
                <anchor moveWithCells="1">
                  <from>
                    <xdr:col>4</xdr:col>
                    <xdr:colOff>152400</xdr:colOff>
                    <xdr:row>25</xdr:row>
                    <xdr:rowOff>180975</xdr:rowOff>
                  </from>
                  <to>
                    <xdr:col>6</xdr:col>
                    <xdr:colOff>114300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46" name="Check Box 62">
              <controlPr defaultSize="0" autoFill="0" autoLine="0" autoPict="0">
                <anchor moveWithCells="1">
                  <from>
                    <xdr:col>4</xdr:col>
                    <xdr:colOff>152400</xdr:colOff>
                    <xdr:row>26</xdr:row>
                    <xdr:rowOff>180975</xdr:rowOff>
                  </from>
                  <to>
                    <xdr:col>6</xdr:col>
                    <xdr:colOff>114300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47" name="Check Box 63">
              <controlPr defaultSize="0" autoFill="0" autoLine="0" autoPict="0">
                <anchor moveWithCells="1">
                  <from>
                    <xdr:col>4</xdr:col>
                    <xdr:colOff>152400</xdr:colOff>
                    <xdr:row>27</xdr:row>
                    <xdr:rowOff>171450</xdr:rowOff>
                  </from>
                  <to>
                    <xdr:col>6</xdr:col>
                    <xdr:colOff>114300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48" name="Check Box 64">
              <controlPr defaultSize="0" autoFill="0" autoLine="0" autoPict="0">
                <anchor moveWithCells="1">
                  <from>
                    <xdr:col>4</xdr:col>
                    <xdr:colOff>152400</xdr:colOff>
                    <xdr:row>28</xdr:row>
                    <xdr:rowOff>171450</xdr:rowOff>
                  </from>
                  <to>
                    <xdr:col>6</xdr:col>
                    <xdr:colOff>114300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49" name="Check Box 65">
              <controlPr defaultSize="0" autoFill="0" autoLine="0" autoPict="0">
                <anchor moveWithCells="1">
                  <from>
                    <xdr:col>4</xdr:col>
                    <xdr:colOff>152400</xdr:colOff>
                    <xdr:row>29</xdr:row>
                    <xdr:rowOff>171450</xdr:rowOff>
                  </from>
                  <to>
                    <xdr:col>6</xdr:col>
                    <xdr:colOff>114300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50" name="Check Box 66">
              <controlPr defaultSize="0" autoFill="0" autoLine="0" autoPict="0">
                <anchor moveWithCells="1">
                  <from>
                    <xdr:col>4</xdr:col>
                    <xdr:colOff>152400</xdr:colOff>
                    <xdr:row>30</xdr:row>
                    <xdr:rowOff>161925</xdr:rowOff>
                  </from>
                  <to>
                    <xdr:col>6</xdr:col>
                    <xdr:colOff>114300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51" name="Check Box 67">
              <controlPr defaultSize="0" autoFill="0" autoLine="0" autoPict="0">
                <anchor moveWithCells="1">
                  <from>
                    <xdr:col>4</xdr:col>
                    <xdr:colOff>152400</xdr:colOff>
                    <xdr:row>31</xdr:row>
                    <xdr:rowOff>161925</xdr:rowOff>
                  </from>
                  <to>
                    <xdr:col>6</xdr:col>
                    <xdr:colOff>114300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52" name="Check Box 68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53" name="Check Box 71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180975</xdr:rowOff>
                  </from>
                  <to>
                    <xdr:col>9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54" name="Check Box 72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180975</xdr:rowOff>
                  </from>
                  <to>
                    <xdr:col>8</xdr:col>
                    <xdr:colOff>200025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55" name="Check Box 73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171450</xdr:rowOff>
                  </from>
                  <to>
                    <xdr:col>8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56" name="Check Box 74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171450</xdr:rowOff>
                  </from>
                  <to>
                    <xdr:col>8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57" name="Check Box 75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161925</xdr:rowOff>
                  </from>
                  <to>
                    <xdr:col>8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58" name="Check Box 76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161925</xdr:rowOff>
                  </from>
                  <to>
                    <xdr:col>8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59" name="Group Box 31">
              <controlPr defaultSize="0" autoFill="0" autoPict="0">
                <anchor moveWithCells="1">
                  <from>
                    <xdr:col>2</xdr:col>
                    <xdr:colOff>0</xdr:colOff>
                    <xdr:row>66</xdr:row>
                    <xdr:rowOff>0</xdr:rowOff>
                  </from>
                  <to>
                    <xdr:col>9</xdr:col>
                    <xdr:colOff>0</xdr:colOff>
                    <xdr:row>72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60" name="Drop Down 36">
              <controlPr defaultSize="0" autoLine="0" autoPict="0">
                <anchor moveWithCells="1">
                  <from>
                    <xdr:col>3</xdr:col>
                    <xdr:colOff>0</xdr:colOff>
                    <xdr:row>68</xdr:row>
                    <xdr:rowOff>180975</xdr:rowOff>
                  </from>
                  <to>
                    <xdr:col>8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61" name="Group Box 77">
              <controlPr defaultSize="0" autoFill="0" autoPict="0">
                <anchor moveWithCells="1">
                  <from>
                    <xdr:col>2</xdr:col>
                    <xdr:colOff>0</xdr:colOff>
                    <xdr:row>84</xdr:row>
                    <xdr:rowOff>0</xdr:rowOff>
                  </from>
                  <to>
                    <xdr:col>8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62" name="Label 7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85</xdr:row>
                    <xdr:rowOff>0</xdr:rowOff>
                  </from>
                  <to>
                    <xdr:col>3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63" name="Drop Down 79">
              <controlPr defaultSize="0" autoLine="0" autoPict="0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7</xdr:col>
                    <xdr:colOff>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64" name="Label 80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86</xdr:row>
                    <xdr:rowOff>180975</xdr:rowOff>
                  </from>
                  <to>
                    <xdr:col>2</xdr:col>
                    <xdr:colOff>657225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65" name="Label 81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91</xdr:row>
                    <xdr:rowOff>0</xdr:rowOff>
                  </from>
                  <to>
                    <xdr:col>3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66" name="Drop Down 82">
              <controlPr defaultSize="0" autoLine="0" autoPict="0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7</xdr:col>
                    <xdr:colOff>0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67" name="Label 83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96</xdr:row>
                    <xdr:rowOff>0</xdr:rowOff>
                  </from>
                  <to>
                    <xdr:col>3</xdr:col>
                    <xdr:colOff>523875</xdr:colOff>
                    <xdr:row>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68" name="Drop Down 84">
              <controlPr defaultSize="0" autoLine="0" autoPict="0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7</xdr:col>
                    <xdr:colOff>0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69" name="Label 85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98</xdr:row>
                    <xdr:rowOff>0</xdr:rowOff>
                  </from>
                  <to>
                    <xdr:col>2</xdr:col>
                    <xdr:colOff>657225</xdr:colOff>
                    <xdr:row>98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70" name="Drop Down 86">
              <controlPr defaultSize="0" autoLine="0" autoPict="0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7</xdr:col>
                    <xdr:colOff>0</xdr:colOff>
                    <xdr:row>99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71" name="Label 87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100</xdr:row>
                    <xdr:rowOff>0</xdr:rowOff>
                  </from>
                  <to>
                    <xdr:col>3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72" name="Drop Down 88">
              <controlPr defaultSize="0" autoLine="0" autoPict="0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7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73" name="Label 89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102</xdr:row>
                    <xdr:rowOff>9525</xdr:rowOff>
                  </from>
                  <to>
                    <xdr:col>3</xdr:col>
                    <xdr:colOff>447675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74" name="Drop Down 90">
              <controlPr defaultSize="0" autoLine="0" autoPict="0">
                <anchor mov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7</xdr:col>
                    <xdr:colOff>0</xdr:colOff>
                    <xdr:row>103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75" name="Drop Down 92">
              <controlPr defaultSize="0" autoLine="0" autoPict="0">
                <anchor moveWithCells="1">
                  <from>
                    <xdr:col>2</xdr:col>
                    <xdr:colOff>209550</xdr:colOff>
                    <xdr:row>52</xdr:row>
                    <xdr:rowOff>0</xdr:rowOff>
                  </from>
                  <to>
                    <xdr:col>5</xdr:col>
                    <xdr:colOff>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76" name="Group Box 93">
              <controlPr defaultSize="0" autoFill="0" autoPict="0">
                <anchor moveWithCells="1">
                  <from>
                    <xdr:col>2</xdr:col>
                    <xdr:colOff>0</xdr:colOff>
                    <xdr:row>105</xdr:row>
                    <xdr:rowOff>0</xdr:rowOff>
                  </from>
                  <to>
                    <xdr:col>7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77" name="Check Box 94">
              <controlPr defaultSize="0" autoFill="0" autoLine="0" autoPict="0">
                <anchor moveWithCells="1">
                  <from>
                    <xdr:col>2</xdr:col>
                    <xdr:colOff>0</xdr:colOff>
                    <xdr:row>106</xdr:row>
                    <xdr:rowOff>0</xdr:rowOff>
                  </from>
                  <to>
                    <xdr:col>6</xdr:col>
                    <xdr:colOff>361950</xdr:colOff>
                    <xdr:row>107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78" name="Check Box 95">
              <controlPr defaultSize="0" autoFill="0" autoLine="0" autoPict="0">
                <anchor moveWithCells="1">
                  <from>
                    <xdr:col>2</xdr:col>
                    <xdr:colOff>0</xdr:colOff>
                    <xdr:row>107</xdr:row>
                    <xdr:rowOff>0</xdr:rowOff>
                  </from>
                  <to>
                    <xdr:col>6</xdr:col>
                    <xdr:colOff>361950</xdr:colOff>
                    <xdr:row>108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79" name="Check Box 96">
              <controlPr defaultSize="0" autoFill="0" autoLine="0" autoPict="0">
                <anchor moveWithCells="1">
                  <from>
                    <xdr:col>2</xdr:col>
                    <xdr:colOff>0</xdr:colOff>
                    <xdr:row>108</xdr:row>
                    <xdr:rowOff>19050</xdr:rowOff>
                  </from>
                  <to>
                    <xdr:col>6</xdr:col>
                    <xdr:colOff>361950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80" name="Check Box 97">
              <controlPr defaultSize="0" autoFill="0" autoLine="0" autoPict="0">
                <anchor moveWithCells="1">
                  <from>
                    <xdr:col>2</xdr:col>
                    <xdr:colOff>0</xdr:colOff>
                    <xdr:row>109</xdr:row>
                    <xdr:rowOff>0</xdr:rowOff>
                  </from>
                  <to>
                    <xdr:col>6</xdr:col>
                    <xdr:colOff>361950</xdr:colOff>
                    <xdr:row>110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81" name="Check Box 98">
              <controlPr defaultSize="0" autoFill="0" autoLine="0" autoPict="0">
                <anchor moveWithCells="1">
                  <from>
                    <xdr:col>2</xdr:col>
                    <xdr:colOff>0</xdr:colOff>
                    <xdr:row>110</xdr:row>
                    <xdr:rowOff>0</xdr:rowOff>
                  </from>
                  <to>
                    <xdr:col>6</xdr:col>
                    <xdr:colOff>361950</xdr:colOff>
                    <xdr:row>111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82" name="Label 11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117</xdr:row>
                    <xdr:rowOff>180975</xdr:rowOff>
                  </from>
                  <to>
                    <xdr:col>4</xdr:col>
                    <xdr:colOff>0</xdr:colOff>
                    <xdr:row>118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83" name="Button 120">
              <controlPr defaultSize="0" print="0" autoFill="0" autoPict="0" macro="[0]!CreateRecord">
                <anchor moveWithCells="1" sizeWithCells="1">
                  <from>
                    <xdr:col>2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84" name="Label 12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123</xdr:row>
                    <xdr:rowOff>180975</xdr:rowOff>
                  </from>
                  <to>
                    <xdr:col>3</xdr:col>
                    <xdr:colOff>0</xdr:colOff>
                    <xdr:row>124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85" name="Label 29">
              <controlPr defaultSize="0" autoFill="0" autoLine="0" autoPict="0">
                <anchor moveWithCells="1">
                  <from>
                    <xdr:col>2</xdr:col>
                    <xdr:colOff>0</xdr:colOff>
                    <xdr:row>63</xdr:row>
                    <xdr:rowOff>0</xdr:rowOff>
                  </from>
                  <to>
                    <xdr:col>3</xdr:col>
                    <xdr:colOff>400050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86" name="Group Box 38">
              <controlPr defaultSize="0" autoFill="0" autoPict="0">
                <anchor moveWithCells="1">
                  <from>
                    <xdr:col>2</xdr:col>
                    <xdr:colOff>0</xdr:colOff>
                    <xdr:row>74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87" name="Label 110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116</xdr:row>
                    <xdr:rowOff>19050</xdr:rowOff>
                  </from>
                  <to>
                    <xdr:col>5</xdr:col>
                    <xdr:colOff>352425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88" name="Group Box 130">
              <controlPr defaultSize="0" autoFill="0" autoPict="0">
                <anchor moveWithCells="1">
                  <from>
                    <xdr:col>1</xdr:col>
                    <xdr:colOff>0</xdr:colOff>
                    <xdr:row>190</xdr:row>
                    <xdr:rowOff>0</xdr:rowOff>
                  </from>
                  <to>
                    <xdr:col>6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89" name="Drop Down 131">
              <controlPr defaultSize="0" autoLine="0" autoPict="0">
                <anchor moveWithCells="1">
                  <from>
                    <xdr:col>1</xdr:col>
                    <xdr:colOff>419100</xdr:colOff>
                    <xdr:row>191</xdr:row>
                    <xdr:rowOff>0</xdr:rowOff>
                  </from>
                  <to>
                    <xdr:col>5</xdr:col>
                    <xdr:colOff>419100</xdr:colOff>
                    <xdr:row>192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90" name="Label 13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93</xdr:row>
                    <xdr:rowOff>0</xdr:rowOff>
                  </from>
                  <to>
                    <xdr:col>3</xdr:col>
                    <xdr:colOff>409575</xdr:colOff>
                    <xdr:row>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91" name="Group Box 134">
              <controlPr defaultSize="0" autoFill="0" autoPict="0">
                <anchor moveWithCells="1">
                  <from>
                    <xdr:col>2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92" name="Drop Down 135">
              <controlPr defaultSize="0" autoLine="0" autoPict="0">
                <anchor moveWithCells="1">
                  <from>
                    <xdr:col>2</xdr:col>
                    <xdr:colOff>285750</xdr:colOff>
                    <xdr:row>154</xdr:row>
                    <xdr:rowOff>0</xdr:rowOff>
                  </from>
                  <to>
                    <xdr:col>5</xdr:col>
                    <xdr:colOff>66675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93" name="Group Box 136">
              <controlPr defaultSize="0" autoFill="0" autoPict="0">
                <anchor moveWithCells="1">
                  <from>
                    <xdr:col>2</xdr:col>
                    <xdr:colOff>0</xdr:colOff>
                    <xdr:row>147</xdr:row>
                    <xdr:rowOff>0</xdr:rowOff>
                  </from>
                  <to>
                    <xdr:col>8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94" name="Label 137">
              <controlPr defaultSize="0" autoFill="0" autoLine="0" autoPict="0">
                <anchor moveWithCells="1">
                  <from>
                    <xdr:col>2</xdr:col>
                    <xdr:colOff>0</xdr:colOff>
                    <xdr:row>162</xdr:row>
                    <xdr:rowOff>0</xdr:rowOff>
                  </from>
                  <to>
                    <xdr:col>3</xdr:col>
                    <xdr:colOff>400050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95" name="Label 138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164</xdr:row>
                    <xdr:rowOff>0</xdr:rowOff>
                  </from>
                  <to>
                    <xdr:col>3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96" name="Label 139">
              <controlPr defaultSize="0" autoFill="0" autoLine="0" autoPict="0">
                <anchor moveWithCells="1">
                  <from>
                    <xdr:col>2</xdr:col>
                    <xdr:colOff>0</xdr:colOff>
                    <xdr:row>166</xdr:row>
                    <xdr:rowOff>0</xdr:rowOff>
                  </from>
                  <to>
                    <xdr:col>3</xdr:col>
                    <xdr:colOff>400050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97" name="Drop Down 140">
              <controlPr defaultSize="0" autoLine="0" autoPict="0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98" name="Drop Down 141">
              <controlPr defaultSize="0" autoLine="0" autoPict="0">
                <anchor moveWithCells="1">
                  <from>
                    <xdr:col>4</xdr:col>
                    <xdr:colOff>0</xdr:colOff>
                    <xdr:row>163</xdr:row>
                    <xdr:rowOff>180975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99" name="Drop Down 142">
              <controlPr defaultSize="0" autoLine="0" autoPict="0">
                <anchor moveWithCells="1">
                  <from>
                    <xdr:col>4</xdr:col>
                    <xdr:colOff>0</xdr:colOff>
                    <xdr:row>165</xdr:row>
                    <xdr:rowOff>180975</xdr:rowOff>
                  </from>
                  <to>
                    <xdr:col>6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100" name="Drop Down 146">
              <controlPr defaultSize="0" autoLine="0" autoPict="0">
                <anchor mov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8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101" name="Drop Down 147">
              <controlPr defaultSize="0" autoLine="0" autoPict="0">
                <anchor moveWithCells="1">
                  <from>
                    <xdr:col>3</xdr:col>
                    <xdr:colOff>0</xdr:colOff>
                    <xdr:row>177</xdr:row>
                    <xdr:rowOff>180975</xdr:rowOff>
                  </from>
                  <to>
                    <xdr:col>8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102" name="Check Box 148">
              <controlPr defaultSize="0" autoFill="0" autoLine="0" autoPict="0">
                <anchor moveWithCells="1">
                  <from>
                    <xdr:col>2</xdr:col>
                    <xdr:colOff>0</xdr:colOff>
                    <xdr:row>182</xdr:row>
                    <xdr:rowOff>0</xdr:rowOff>
                  </from>
                  <to>
                    <xdr:col>3</xdr:col>
                    <xdr:colOff>400050</xdr:colOff>
                    <xdr:row>183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103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183</xdr:row>
                    <xdr:rowOff>0</xdr:rowOff>
                  </from>
                  <to>
                    <xdr:col>3</xdr:col>
                    <xdr:colOff>200025</xdr:colOff>
                    <xdr:row>184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104" name="Check Box 150">
              <controlPr defaultSize="0" autoFill="0" autoLine="0" autoPict="0">
                <anchor moveWithCells="1">
                  <from>
                    <xdr:col>2</xdr:col>
                    <xdr:colOff>0</xdr:colOff>
                    <xdr:row>184</xdr:row>
                    <xdr:rowOff>0</xdr:rowOff>
                  </from>
                  <to>
                    <xdr:col>3</xdr:col>
                    <xdr:colOff>400050</xdr:colOff>
                    <xdr:row>185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105" name="Check Box 151">
              <controlPr defaultSize="0" autoFill="0" autoLine="0" autoPict="0">
                <anchor moveWithCells="1">
                  <from>
                    <xdr:col>2</xdr:col>
                    <xdr:colOff>0</xdr:colOff>
                    <xdr:row>185</xdr:row>
                    <xdr:rowOff>0</xdr:rowOff>
                  </from>
                  <to>
                    <xdr:col>3</xdr:col>
                    <xdr:colOff>400050</xdr:colOff>
                    <xdr:row>186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0" r:id="rId106" name="Label 15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187</xdr:row>
                    <xdr:rowOff>0</xdr:rowOff>
                  </from>
                  <to>
                    <xdr:col>3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107" name="Group Box 153">
              <controlPr defaultSize="0" autoFill="0" autoPict="0">
                <anchor moveWithCells="1">
                  <from>
                    <xdr:col>2</xdr:col>
                    <xdr:colOff>0</xdr:colOff>
                    <xdr:row>134</xdr:row>
                    <xdr:rowOff>0</xdr:rowOff>
                  </from>
                  <to>
                    <xdr:col>9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108" name="Check Box 154">
              <controlPr defaultSize="0" autoFill="0" autoLine="0" autoPict="0">
                <anchor moveWithCells="1">
                  <from>
                    <xdr:col>2</xdr:col>
                    <xdr:colOff>0</xdr:colOff>
                    <xdr:row>135</xdr:row>
                    <xdr:rowOff>0</xdr:rowOff>
                  </from>
                  <to>
                    <xdr:col>3</xdr:col>
                    <xdr:colOff>581025</xdr:colOff>
                    <xdr:row>136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109" name="Check Box 155">
              <controlPr defaultSize="0" autoFill="0" autoLine="0" autoPict="0">
                <anchor moveWithCells="1">
                  <from>
                    <xdr:col>2</xdr:col>
                    <xdr:colOff>0</xdr:colOff>
                    <xdr:row>136</xdr:row>
                    <xdr:rowOff>0</xdr:rowOff>
                  </from>
                  <to>
                    <xdr:col>3</xdr:col>
                    <xdr:colOff>581025</xdr:colOff>
                    <xdr:row>137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110" name="Check Box 156">
              <controlPr defaultSize="0" autoFill="0" autoLine="0" autoPict="0">
                <anchor moveWithCells="1">
                  <from>
                    <xdr:col>2</xdr:col>
                    <xdr:colOff>0</xdr:colOff>
                    <xdr:row>136</xdr:row>
                    <xdr:rowOff>180975</xdr:rowOff>
                  </from>
                  <to>
                    <xdr:col>3</xdr:col>
                    <xdr:colOff>581025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5" r:id="rId111" name="Check Box 157">
              <controlPr defaultSize="0" autoFill="0" autoLine="0" autoPict="0">
                <anchor moveWithCells="1">
                  <from>
                    <xdr:col>2</xdr:col>
                    <xdr:colOff>0</xdr:colOff>
                    <xdr:row>137</xdr:row>
                    <xdr:rowOff>180975</xdr:rowOff>
                  </from>
                  <to>
                    <xdr:col>3</xdr:col>
                    <xdr:colOff>581025</xdr:colOff>
                    <xdr:row>139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6" r:id="rId112" name="Check Box 158">
              <controlPr defaultSize="0" autoFill="0" autoLine="0" autoPict="0">
                <anchor moveWithCells="1">
                  <from>
                    <xdr:col>2</xdr:col>
                    <xdr:colOff>0</xdr:colOff>
                    <xdr:row>138</xdr:row>
                    <xdr:rowOff>180975</xdr:rowOff>
                  </from>
                  <to>
                    <xdr:col>3</xdr:col>
                    <xdr:colOff>581025</xdr:colOff>
                    <xdr:row>140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113" name="Check Box 159">
              <controlPr defaultSize="0" autoFill="0" autoLine="0" autoPict="0">
                <anchor moveWithCells="1">
                  <from>
                    <xdr:col>2</xdr:col>
                    <xdr:colOff>0</xdr:colOff>
                    <xdr:row>139</xdr:row>
                    <xdr:rowOff>171450</xdr:rowOff>
                  </from>
                  <to>
                    <xdr:col>3</xdr:col>
                    <xdr:colOff>581025</xdr:colOff>
                    <xdr:row>141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114" name="Check Box 160">
              <controlPr defaultSize="0" autoFill="0" autoLine="0" autoPict="0">
                <anchor moveWithCells="1">
                  <from>
                    <xdr:col>2</xdr:col>
                    <xdr:colOff>0</xdr:colOff>
                    <xdr:row>140</xdr:row>
                    <xdr:rowOff>171450</xdr:rowOff>
                  </from>
                  <to>
                    <xdr:col>3</xdr:col>
                    <xdr:colOff>581025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115" name="Check Box 161">
              <controlPr defaultSize="0" autoFill="0" autoLine="0" autoPict="0">
                <anchor moveWithCells="1">
                  <from>
                    <xdr:col>2</xdr:col>
                    <xdr:colOff>0</xdr:colOff>
                    <xdr:row>141</xdr:row>
                    <xdr:rowOff>171450</xdr:rowOff>
                  </from>
                  <to>
                    <xdr:col>3</xdr:col>
                    <xdr:colOff>581025</xdr:colOff>
                    <xdr:row>143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116" name="Check Box 162">
              <controlPr defaultSize="0" autoFill="0" autoLine="0" autoPict="0">
                <anchor moveWithCells="1">
                  <from>
                    <xdr:col>2</xdr:col>
                    <xdr:colOff>0</xdr:colOff>
                    <xdr:row>142</xdr:row>
                    <xdr:rowOff>161925</xdr:rowOff>
                  </from>
                  <to>
                    <xdr:col>3</xdr:col>
                    <xdr:colOff>581025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117" name="Check Box 163">
              <controlPr defaultSize="0" autoFill="0" autoLine="0" autoPict="0">
                <anchor moveWithCells="1">
                  <from>
                    <xdr:col>2</xdr:col>
                    <xdr:colOff>0</xdr:colOff>
                    <xdr:row>143</xdr:row>
                    <xdr:rowOff>161925</xdr:rowOff>
                  </from>
                  <to>
                    <xdr:col>3</xdr:col>
                    <xdr:colOff>581025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118" name="Check Box 164">
              <controlPr defaultSize="0" autoFill="0" autoLine="0" autoPict="0">
                <anchor moveWithCells="1">
                  <from>
                    <xdr:col>4</xdr:col>
                    <xdr:colOff>152400</xdr:colOff>
                    <xdr:row>135</xdr:row>
                    <xdr:rowOff>0</xdr:rowOff>
                  </from>
                  <to>
                    <xdr:col>6</xdr:col>
                    <xdr:colOff>114300</xdr:colOff>
                    <xdr:row>136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119" name="Check Box 165">
              <controlPr defaultSize="0" autoFill="0" autoLine="0" autoPict="0">
                <anchor moveWithCells="1">
                  <from>
                    <xdr:col>4</xdr:col>
                    <xdr:colOff>152400</xdr:colOff>
                    <xdr:row>136</xdr:row>
                    <xdr:rowOff>0</xdr:rowOff>
                  </from>
                  <to>
                    <xdr:col>6</xdr:col>
                    <xdr:colOff>114300</xdr:colOff>
                    <xdr:row>137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4" r:id="rId120" name="Check Box 166">
              <controlPr defaultSize="0" autoFill="0" autoLine="0" autoPict="0">
                <anchor moveWithCells="1">
                  <from>
                    <xdr:col>4</xdr:col>
                    <xdr:colOff>152400</xdr:colOff>
                    <xdr:row>136</xdr:row>
                    <xdr:rowOff>180975</xdr:rowOff>
                  </from>
                  <to>
                    <xdr:col>6</xdr:col>
                    <xdr:colOff>114300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5" r:id="rId121" name="Check Box 167">
              <controlPr defaultSize="0" autoFill="0" autoLine="0" autoPict="0">
                <anchor moveWithCells="1">
                  <from>
                    <xdr:col>4</xdr:col>
                    <xdr:colOff>152400</xdr:colOff>
                    <xdr:row>137</xdr:row>
                    <xdr:rowOff>180975</xdr:rowOff>
                  </from>
                  <to>
                    <xdr:col>6</xdr:col>
                    <xdr:colOff>114300</xdr:colOff>
                    <xdr:row>139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6" r:id="rId122" name="Check Box 168">
              <controlPr defaultSize="0" autoFill="0" autoLine="0" autoPict="0">
                <anchor moveWithCells="1">
                  <from>
                    <xdr:col>4</xdr:col>
                    <xdr:colOff>152400</xdr:colOff>
                    <xdr:row>138</xdr:row>
                    <xdr:rowOff>180975</xdr:rowOff>
                  </from>
                  <to>
                    <xdr:col>6</xdr:col>
                    <xdr:colOff>114300</xdr:colOff>
                    <xdr:row>140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7" r:id="rId123" name="Check Box 169">
              <controlPr defaultSize="0" autoFill="0" autoLine="0" autoPict="0">
                <anchor moveWithCells="1">
                  <from>
                    <xdr:col>4</xdr:col>
                    <xdr:colOff>152400</xdr:colOff>
                    <xdr:row>139</xdr:row>
                    <xdr:rowOff>171450</xdr:rowOff>
                  </from>
                  <to>
                    <xdr:col>6</xdr:col>
                    <xdr:colOff>114300</xdr:colOff>
                    <xdr:row>141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8" r:id="rId124" name="Check Box 170">
              <controlPr defaultSize="0" autoFill="0" autoLine="0" autoPict="0">
                <anchor moveWithCells="1">
                  <from>
                    <xdr:col>4</xdr:col>
                    <xdr:colOff>152400</xdr:colOff>
                    <xdr:row>140</xdr:row>
                    <xdr:rowOff>171450</xdr:rowOff>
                  </from>
                  <to>
                    <xdr:col>6</xdr:col>
                    <xdr:colOff>114300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9" r:id="rId125" name="Check Box 171">
              <controlPr defaultSize="0" autoFill="0" autoLine="0" autoPict="0">
                <anchor moveWithCells="1">
                  <from>
                    <xdr:col>4</xdr:col>
                    <xdr:colOff>152400</xdr:colOff>
                    <xdr:row>141</xdr:row>
                    <xdr:rowOff>171450</xdr:rowOff>
                  </from>
                  <to>
                    <xdr:col>6</xdr:col>
                    <xdr:colOff>114300</xdr:colOff>
                    <xdr:row>143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0" r:id="rId126" name="Check Box 172">
              <controlPr defaultSize="0" autoFill="0" autoLine="0" autoPict="0">
                <anchor moveWithCells="1">
                  <from>
                    <xdr:col>4</xdr:col>
                    <xdr:colOff>152400</xdr:colOff>
                    <xdr:row>142</xdr:row>
                    <xdr:rowOff>161925</xdr:rowOff>
                  </from>
                  <to>
                    <xdr:col>6</xdr:col>
                    <xdr:colOff>114300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1" r:id="rId127" name="Check Box 173">
              <controlPr defaultSize="0" autoFill="0" autoLine="0" autoPict="0">
                <anchor moveWithCells="1">
                  <from>
                    <xdr:col>4</xdr:col>
                    <xdr:colOff>152400</xdr:colOff>
                    <xdr:row>143</xdr:row>
                    <xdr:rowOff>161925</xdr:rowOff>
                  </from>
                  <to>
                    <xdr:col>6</xdr:col>
                    <xdr:colOff>114300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2" r:id="rId128" name="Check Box 174">
              <controlPr defaultSize="0" autoFill="0" autoLine="0" autoPict="0">
                <anchor moveWithCells="1">
                  <from>
                    <xdr:col>6</xdr:col>
                    <xdr:colOff>228600</xdr:colOff>
                    <xdr:row>135</xdr:row>
                    <xdr:rowOff>0</xdr:rowOff>
                  </from>
                  <to>
                    <xdr:col>9</xdr:col>
                    <xdr:colOff>0</xdr:colOff>
                    <xdr:row>136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3" r:id="rId129" name="Check Box 175">
              <controlPr defaultSize="0" autoFill="0" autoLine="0" autoPict="0">
                <anchor moveWithCells="1">
                  <from>
                    <xdr:col>6</xdr:col>
                    <xdr:colOff>228600</xdr:colOff>
                    <xdr:row>135</xdr:row>
                    <xdr:rowOff>180975</xdr:rowOff>
                  </from>
                  <to>
                    <xdr:col>9</xdr:col>
                    <xdr:colOff>0</xdr:colOff>
                    <xdr:row>137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4" r:id="rId130" name="Check Box 176">
              <controlPr defaultSize="0" autoFill="0" autoLine="0" autoPict="0">
                <anchor moveWithCells="1">
                  <from>
                    <xdr:col>6</xdr:col>
                    <xdr:colOff>228600</xdr:colOff>
                    <xdr:row>136</xdr:row>
                    <xdr:rowOff>180975</xdr:rowOff>
                  </from>
                  <to>
                    <xdr:col>8</xdr:col>
                    <xdr:colOff>200025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5" r:id="rId131" name="Check Box 177">
              <controlPr defaultSize="0" autoFill="0" autoLine="0" autoPict="0">
                <anchor moveWithCells="1">
                  <from>
                    <xdr:col>6</xdr:col>
                    <xdr:colOff>228600</xdr:colOff>
                    <xdr:row>137</xdr:row>
                    <xdr:rowOff>171450</xdr:rowOff>
                  </from>
                  <to>
                    <xdr:col>8</xdr:col>
                    <xdr:colOff>200025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6" r:id="rId132" name="Check Box 178">
              <controlPr defaultSize="0" autoFill="0" autoLine="0" autoPict="0">
                <anchor moveWithCells="1">
                  <from>
                    <xdr:col>6</xdr:col>
                    <xdr:colOff>228600</xdr:colOff>
                    <xdr:row>138</xdr:row>
                    <xdr:rowOff>171450</xdr:rowOff>
                  </from>
                  <to>
                    <xdr:col>8</xdr:col>
                    <xdr:colOff>200025</xdr:colOff>
                    <xdr:row>140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7" r:id="rId133" name="Check Box 179">
              <controlPr defaultSize="0" autoFill="0" autoLine="0" autoPict="0">
                <anchor moveWithCells="1">
                  <from>
                    <xdr:col>6</xdr:col>
                    <xdr:colOff>228600</xdr:colOff>
                    <xdr:row>139</xdr:row>
                    <xdr:rowOff>161925</xdr:rowOff>
                  </from>
                  <to>
                    <xdr:col>8</xdr:col>
                    <xdr:colOff>200025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8" r:id="rId134" name="Check Box 180">
              <controlPr defaultSize="0" autoFill="0" autoLine="0" autoPict="0">
                <anchor moveWithCells="1">
                  <from>
                    <xdr:col>6</xdr:col>
                    <xdr:colOff>228600</xdr:colOff>
                    <xdr:row>140</xdr:row>
                    <xdr:rowOff>161925</xdr:rowOff>
                  </from>
                  <to>
                    <xdr:col>8</xdr:col>
                    <xdr:colOff>200025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9" r:id="rId135" name="Group Box 181">
              <controlPr defaultSize="0" autoFill="0" autoPict="0">
                <anchor moveWithCells="1">
                  <from>
                    <xdr:col>2</xdr:col>
                    <xdr:colOff>0</xdr:colOff>
                    <xdr:row>173</xdr:row>
                    <xdr:rowOff>0</xdr:rowOff>
                  </from>
                  <to>
                    <xdr:col>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0" r:id="rId136" name="Drop Down 182">
              <controlPr defaultSize="0" autoLine="0" autoPict="0">
                <anchor moveWithCells="1">
                  <from>
                    <xdr:col>3</xdr:col>
                    <xdr:colOff>0</xdr:colOff>
                    <xdr:row>175</xdr:row>
                    <xdr:rowOff>180975</xdr:rowOff>
                  </from>
                  <to>
                    <xdr:col>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3" r:id="rId137" name="Label 185">
              <controlPr defaultSize="0" autoFill="0" autoLine="0" autoPict="0">
                <anchor moveWithCells="1">
                  <from>
                    <xdr:col>2</xdr:col>
                    <xdr:colOff>0</xdr:colOff>
                    <xdr:row>169</xdr:row>
                    <xdr:rowOff>0</xdr:rowOff>
                  </from>
                  <to>
                    <xdr:col>3</xdr:col>
                    <xdr:colOff>400050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4" r:id="rId138" name="Group Box 186">
              <controlPr defaultSize="0" autoFill="0" autoPict="0">
                <anchor moveWithCells="1">
                  <from>
                    <xdr:col>2</xdr:col>
                    <xdr:colOff>0</xdr:colOff>
                    <xdr:row>181</xdr:row>
                    <xdr:rowOff>0</xdr:rowOff>
                  </from>
                  <to>
                    <xdr:col>5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" r:id="rId139" name="Label 206">
              <controlPr defaultSize="0" autoFill="0" autoLine="0" autoPict="0">
                <anchor moveWithCells="1">
                  <from>
                    <xdr:col>2</xdr:col>
                    <xdr:colOff>0</xdr:colOff>
                    <xdr:row>174</xdr:row>
                    <xdr:rowOff>0</xdr:rowOff>
                  </from>
                  <to>
                    <xdr:col>3</xdr:col>
                    <xdr:colOff>400050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" r:id="rId140" name="Label 207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176</xdr:row>
                    <xdr:rowOff>9525</xdr:rowOff>
                  </from>
                  <to>
                    <xdr:col>3</xdr:col>
                    <xdr:colOff>0</xdr:colOff>
                    <xdr:row>177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" r:id="rId141" name="Label 208">
              <controlPr defaultSize="0" autoFill="0" autoLine="0" autoPict="0">
                <anchor moveWithCells="1">
                  <from>
                    <xdr:col>2</xdr:col>
                    <xdr:colOff>0</xdr:colOff>
                    <xdr:row>178</xdr:row>
                    <xdr:rowOff>0</xdr:rowOff>
                  </from>
                  <to>
                    <xdr:col>3</xdr:col>
                    <xdr:colOff>400050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42" name="Group Box 10">
              <controlPr defaultSize="0" autoFill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7" r:id="rId143" name="Group Box 199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144" name="Label 102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115</xdr:row>
                    <xdr:rowOff>190500</xdr:rowOff>
                  </from>
                  <to>
                    <xdr:col>3</xdr:col>
                    <xdr:colOff>342900</xdr:colOff>
                    <xdr:row>117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9" r:id="rId145" name="Group Box 201">
              <controlPr defaultSize="0" autoFill="0" autoPict="0">
                <anchor moveWithCells="1">
                  <from>
                    <xdr:col>1</xdr:col>
                    <xdr:colOff>0</xdr:colOff>
                    <xdr:row>83</xdr:row>
                    <xdr:rowOff>0</xdr:rowOff>
                  </from>
                  <to>
                    <xdr:col>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4" r:id="rId146" name="Drop Down 216">
              <controlPr defaultSize="0" autoLine="0" autoPict="0">
                <anchor moveWithCells="1">
                  <from>
                    <xdr:col>2</xdr:col>
                    <xdr:colOff>323850</xdr:colOff>
                    <xdr:row>158</xdr:row>
                    <xdr:rowOff>0</xdr:rowOff>
                  </from>
                  <to>
                    <xdr:col>5</xdr:col>
                    <xdr:colOff>266700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147" name="Button 123">
              <controlPr defaultSize="0" print="0" autoFill="0" autoPict="0" macro="[0]!ResetForm">
                <anchor moveWithCells="1" sizeWithCells="1">
                  <from>
                    <xdr:col>5</xdr:col>
                    <xdr:colOff>0</xdr:colOff>
                    <xdr:row>194</xdr:row>
                    <xdr:rowOff>0</xdr:rowOff>
                  </from>
                  <to>
                    <xdr:col>7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" r:id="rId148" name="Group Box 217">
              <controlPr defaultSize="0" autoFill="0" autoPict="0">
                <anchor moveWithCells="1">
                  <from>
                    <xdr:col>2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49" name="Group Box 22">
              <controlPr defaultSize="0" autoFill="0" autoPict="0">
                <anchor moveWithCells="1">
                  <from>
                    <xdr:col>2</xdr:col>
                    <xdr:colOff>0</xdr:colOff>
                    <xdr:row>55</xdr:row>
                    <xdr:rowOff>0</xdr:rowOff>
                  </from>
                  <to>
                    <xdr:col>7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8" r:id="rId150" name="Group Box 200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6" r:id="rId151" name="Group Box 218">
              <controlPr defaultSize="0" autoFill="0" autoPict="0">
                <anchor moveWithCells="1">
                  <from>
                    <xdr:col>2</xdr:col>
                    <xdr:colOff>0</xdr:colOff>
                    <xdr:row>113</xdr:row>
                    <xdr:rowOff>0</xdr:rowOff>
                  </from>
                  <to>
                    <xdr:col>8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7" r:id="rId152" name="Label 219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114</xdr:row>
                    <xdr:rowOff>0</xdr:rowOff>
                  </from>
                  <to>
                    <xdr:col>3</xdr:col>
                    <xdr:colOff>342900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8" r:id="rId153" name="Label 220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114</xdr:row>
                    <xdr:rowOff>19050</xdr:rowOff>
                  </from>
                  <to>
                    <xdr:col>5</xdr:col>
                    <xdr:colOff>352425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9" r:id="rId154" name="Label 2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116</xdr:row>
                    <xdr:rowOff>19050</xdr:rowOff>
                  </from>
                  <to>
                    <xdr:col>7</xdr:col>
                    <xdr:colOff>333375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0" r:id="rId155" name="Group Box 222">
              <controlPr defaultSize="0" autoFill="0" autoPict="0">
                <anchor moveWithCells="1">
                  <from>
                    <xdr:col>2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2" r:id="rId156" name="Group Box 184">
              <controlPr defaultSize="0" autoFill="0" autoPict="0">
                <anchor moveWithCells="1">
                  <from>
                    <xdr:col>2</xdr:col>
                    <xdr:colOff>0</xdr:colOff>
                    <xdr:row>161</xdr:row>
                    <xdr:rowOff>0</xdr:rowOff>
                  </from>
                  <to>
                    <xdr:col>7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0" r:id="rId157" name="Group Box 202">
              <controlPr defaultSize="0" autoFill="0" autoPict="0">
                <anchor moveWithCells="1">
                  <from>
                    <xdr:col>1</xdr:col>
                    <xdr:colOff>0</xdr:colOff>
                    <xdr:row>133</xdr:row>
                    <xdr:rowOff>0</xdr:rowOff>
                  </from>
                  <to>
                    <xdr:col>10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3E23-7470-4E2D-9425-58DB0E21EE7F}">
  <sheetPr codeName="Sheet2"/>
  <dimension ref="A1:M298"/>
  <sheetViews>
    <sheetView zoomScaleNormal="100" workbookViewId="0">
      <selection activeCell="A274" sqref="A274"/>
    </sheetView>
  </sheetViews>
  <sheetFormatPr defaultRowHeight="15" x14ac:dyDescent="0.25"/>
  <cols>
    <col min="1" max="1" width="59.140625" bestFit="1" customWidth="1"/>
  </cols>
  <sheetData>
    <row r="1" spans="1:12" x14ac:dyDescent="0.25">
      <c r="A1" s="2" t="s">
        <v>26</v>
      </c>
    </row>
    <row r="2" spans="1:12" x14ac:dyDescent="0.25">
      <c r="A2" s="2"/>
    </row>
    <row r="3" spans="1:12" x14ac:dyDescent="0.25">
      <c r="A3" t="s">
        <v>0</v>
      </c>
    </row>
    <row r="4" spans="1:12" x14ac:dyDescent="0.25">
      <c r="A4" t="s">
        <v>1</v>
      </c>
      <c r="L4" t="str" cm="1">
        <f t="array" ref="L4:L5">INDEX(Options!A3:A4,Report!O1)</f>
        <v>Male</v>
      </c>
    </row>
    <row r="5" spans="1:12" x14ac:dyDescent="0.25">
      <c r="L5" t="str">
        <v>Female</v>
      </c>
    </row>
    <row r="6" spans="1:12" x14ac:dyDescent="0.25">
      <c r="A6" s="2" t="s">
        <v>137</v>
      </c>
    </row>
    <row r="7" spans="1:12" x14ac:dyDescent="0.25">
      <c r="A7" s="2"/>
    </row>
    <row r="8" spans="1:12" x14ac:dyDescent="0.25">
      <c r="A8">
        <v>1</v>
      </c>
    </row>
    <row r="9" spans="1:12" x14ac:dyDescent="0.25">
      <c r="A9">
        <v>2</v>
      </c>
    </row>
    <row r="10" spans="1:12" x14ac:dyDescent="0.25">
      <c r="A10">
        <v>3</v>
      </c>
      <c r="L10">
        <f>IFERROR(K10,"error result")</f>
        <v>0</v>
      </c>
    </row>
    <row r="11" spans="1:12" x14ac:dyDescent="0.25">
      <c r="A11">
        <v>4</v>
      </c>
    </row>
    <row r="12" spans="1:12" x14ac:dyDescent="0.25">
      <c r="A12">
        <v>5</v>
      </c>
    </row>
    <row r="13" spans="1:12" x14ac:dyDescent="0.25">
      <c r="A13">
        <v>6</v>
      </c>
    </row>
    <row r="14" spans="1:12" x14ac:dyDescent="0.25">
      <c r="A14">
        <v>7</v>
      </c>
      <c r="L14">
        <f>IFERROR(INDEX(Options!A121:A129,Report!O3),"error result")</f>
        <v>0</v>
      </c>
    </row>
    <row r="15" spans="1:12" x14ac:dyDescent="0.25">
      <c r="A15">
        <v>8</v>
      </c>
    </row>
    <row r="16" spans="1:12" x14ac:dyDescent="0.25">
      <c r="A16">
        <v>9</v>
      </c>
    </row>
    <row r="17" spans="1:12" x14ac:dyDescent="0.25">
      <c r="A17">
        <v>10</v>
      </c>
      <c r="F17" t="s">
        <v>150</v>
      </c>
    </row>
    <row r="18" spans="1:12" x14ac:dyDescent="0.25">
      <c r="A18">
        <v>11</v>
      </c>
      <c r="L18" t="str">
        <f>IFERROR(INDEX(Options!A133:A148,Report!O4),"error result")</f>
        <v>Christian - Evangelical Protestant</v>
      </c>
    </row>
    <row r="19" spans="1:12" x14ac:dyDescent="0.25">
      <c r="A19">
        <v>12</v>
      </c>
    </row>
    <row r="20" spans="1:12" x14ac:dyDescent="0.25">
      <c r="A20">
        <v>13</v>
      </c>
      <c r="L20">
        <f>K20</f>
        <v>0</v>
      </c>
    </row>
    <row r="21" spans="1:12" x14ac:dyDescent="0.25">
      <c r="A21">
        <v>14</v>
      </c>
      <c r="L21">
        <f t="shared" ref="L21:L46" si="0">K21</f>
        <v>0</v>
      </c>
    </row>
    <row r="22" spans="1:12" x14ac:dyDescent="0.25">
      <c r="A22">
        <v>15</v>
      </c>
      <c r="L22">
        <f t="shared" si="0"/>
        <v>0</v>
      </c>
    </row>
    <row r="23" spans="1:12" x14ac:dyDescent="0.25">
      <c r="A23">
        <v>16</v>
      </c>
      <c r="L23">
        <f t="shared" si="0"/>
        <v>0</v>
      </c>
    </row>
    <row r="24" spans="1:12" x14ac:dyDescent="0.25">
      <c r="A24">
        <v>17</v>
      </c>
      <c r="L24">
        <f t="shared" si="0"/>
        <v>0</v>
      </c>
    </row>
    <row r="25" spans="1:12" x14ac:dyDescent="0.25">
      <c r="A25">
        <v>18</v>
      </c>
      <c r="L25">
        <f t="shared" si="0"/>
        <v>0</v>
      </c>
    </row>
    <row r="26" spans="1:12" x14ac:dyDescent="0.25">
      <c r="A26">
        <v>19</v>
      </c>
      <c r="L26">
        <f t="shared" si="0"/>
        <v>0</v>
      </c>
    </row>
    <row r="27" spans="1:12" x14ac:dyDescent="0.25">
      <c r="A27">
        <v>20</v>
      </c>
      <c r="L27">
        <f t="shared" si="0"/>
        <v>0</v>
      </c>
    </row>
    <row r="28" spans="1:12" x14ac:dyDescent="0.25">
      <c r="A28">
        <v>21</v>
      </c>
      <c r="L28">
        <f t="shared" si="0"/>
        <v>0</v>
      </c>
    </row>
    <row r="29" spans="1:12" x14ac:dyDescent="0.25">
      <c r="A29">
        <v>22</v>
      </c>
      <c r="L29">
        <f t="shared" si="0"/>
        <v>0</v>
      </c>
    </row>
    <row r="30" spans="1:12" x14ac:dyDescent="0.25">
      <c r="A30">
        <v>23</v>
      </c>
      <c r="L30">
        <f t="shared" si="0"/>
        <v>0</v>
      </c>
    </row>
    <row r="31" spans="1:12" x14ac:dyDescent="0.25">
      <c r="A31">
        <v>24</v>
      </c>
      <c r="L31">
        <f t="shared" si="0"/>
        <v>0</v>
      </c>
    </row>
    <row r="32" spans="1:12" x14ac:dyDescent="0.25">
      <c r="A32">
        <v>25</v>
      </c>
      <c r="L32">
        <f t="shared" si="0"/>
        <v>0</v>
      </c>
    </row>
    <row r="33" spans="1:12" x14ac:dyDescent="0.25">
      <c r="A33">
        <v>26</v>
      </c>
      <c r="L33">
        <f t="shared" si="0"/>
        <v>0</v>
      </c>
    </row>
    <row r="34" spans="1:12" x14ac:dyDescent="0.25">
      <c r="A34">
        <v>27</v>
      </c>
      <c r="L34">
        <f t="shared" si="0"/>
        <v>0</v>
      </c>
    </row>
    <row r="35" spans="1:12" x14ac:dyDescent="0.25">
      <c r="A35">
        <v>28</v>
      </c>
      <c r="L35">
        <f t="shared" si="0"/>
        <v>0</v>
      </c>
    </row>
    <row r="36" spans="1:12" x14ac:dyDescent="0.25">
      <c r="A36">
        <v>29</v>
      </c>
      <c r="L36">
        <f t="shared" si="0"/>
        <v>0</v>
      </c>
    </row>
    <row r="37" spans="1:12" x14ac:dyDescent="0.25">
      <c r="A37">
        <v>30</v>
      </c>
      <c r="L37">
        <f t="shared" si="0"/>
        <v>0</v>
      </c>
    </row>
    <row r="38" spans="1:12" x14ac:dyDescent="0.25">
      <c r="A38">
        <v>31</v>
      </c>
      <c r="L38">
        <f t="shared" si="0"/>
        <v>0</v>
      </c>
    </row>
    <row r="39" spans="1:12" x14ac:dyDescent="0.25">
      <c r="A39">
        <v>32</v>
      </c>
      <c r="L39">
        <f t="shared" si="0"/>
        <v>0</v>
      </c>
    </row>
    <row r="40" spans="1:12" x14ac:dyDescent="0.25">
      <c r="A40">
        <v>33</v>
      </c>
      <c r="L40">
        <f t="shared" si="0"/>
        <v>0</v>
      </c>
    </row>
    <row r="41" spans="1:12" x14ac:dyDescent="0.25">
      <c r="A41">
        <v>34</v>
      </c>
      <c r="L41">
        <f t="shared" si="0"/>
        <v>0</v>
      </c>
    </row>
    <row r="42" spans="1:12" x14ac:dyDescent="0.25">
      <c r="A42">
        <v>35</v>
      </c>
      <c r="L42">
        <f t="shared" si="0"/>
        <v>0</v>
      </c>
    </row>
    <row r="43" spans="1:12" x14ac:dyDescent="0.25">
      <c r="A43">
        <v>36</v>
      </c>
      <c r="L43">
        <f t="shared" si="0"/>
        <v>0</v>
      </c>
    </row>
    <row r="44" spans="1:12" x14ac:dyDescent="0.25">
      <c r="A44">
        <v>37</v>
      </c>
      <c r="L44">
        <f t="shared" si="0"/>
        <v>0</v>
      </c>
    </row>
    <row r="45" spans="1:12" x14ac:dyDescent="0.25">
      <c r="A45">
        <v>38</v>
      </c>
      <c r="L45">
        <f t="shared" si="0"/>
        <v>0</v>
      </c>
    </row>
    <row r="46" spans="1:12" x14ac:dyDescent="0.25">
      <c r="A46">
        <v>39</v>
      </c>
      <c r="L46">
        <f t="shared" si="0"/>
        <v>0</v>
      </c>
    </row>
    <row r="47" spans="1:12" x14ac:dyDescent="0.25">
      <c r="A47">
        <v>40</v>
      </c>
      <c r="L47" t="str">
        <f>IFERROR(INDEX(Options!A154:A159,Report!O32),"error result")</f>
        <v>Independent, full function</v>
      </c>
    </row>
    <row r="48" spans="1:12" x14ac:dyDescent="0.25">
      <c r="A48">
        <v>41</v>
      </c>
      <c r="L48">
        <f>IFERROR(K48,"error result")</f>
        <v>0</v>
      </c>
    </row>
    <row r="49" spans="1:13" x14ac:dyDescent="0.25">
      <c r="A49">
        <v>42</v>
      </c>
    </row>
    <row r="50" spans="1:13" x14ac:dyDescent="0.25">
      <c r="A50">
        <v>43</v>
      </c>
    </row>
    <row r="51" spans="1:13" x14ac:dyDescent="0.25">
      <c r="A51">
        <v>44</v>
      </c>
      <c r="L51" t="str">
        <f>IFERROR(INDEX(Options!A173:A176,Report!O36),"error result")</f>
        <v>Spontaneous</v>
      </c>
      <c r="M51">
        <f>IFERROR(VLOOKUP(L51,Options!$A$173:$B$176,2,FALSE),0)</f>
        <v>4</v>
      </c>
    </row>
    <row r="52" spans="1:13" x14ac:dyDescent="0.25">
      <c r="A52">
        <v>45</v>
      </c>
    </row>
    <row r="53" spans="1:13" x14ac:dyDescent="0.25">
      <c r="A53">
        <v>46</v>
      </c>
      <c r="L53" t="str">
        <f>IFERROR(INDEX(Options!A179:A183,Report!O37),"error result")</f>
        <v>Oriented</v>
      </c>
      <c r="M53">
        <f>IFERROR(VLOOKUP(L53,Options!$A$179:$B$183,2,FALSE),0)</f>
        <v>5</v>
      </c>
    </row>
    <row r="54" spans="1:13" x14ac:dyDescent="0.25">
      <c r="A54">
        <v>47</v>
      </c>
    </row>
    <row r="55" spans="1:13" x14ac:dyDescent="0.25">
      <c r="A55">
        <v>48</v>
      </c>
      <c r="L55" t="str">
        <f>IFERROR(INDEX(Options!A186:A191,Report!O38),"error result")</f>
        <v>Obey Commands</v>
      </c>
      <c r="M55">
        <f>IFERROR(VLOOKUP(L55,Options!$A$186:$B$191,2,FALSE),0)</f>
        <v>6</v>
      </c>
    </row>
    <row r="56" spans="1:13" x14ac:dyDescent="0.25">
      <c r="A56">
        <v>49</v>
      </c>
    </row>
    <row r="57" spans="1:13" x14ac:dyDescent="0.25">
      <c r="A57">
        <v>50</v>
      </c>
      <c r="L57">
        <f>IFERROR(B57,"error result")</f>
        <v>0</v>
      </c>
    </row>
    <row r="58" spans="1:13" x14ac:dyDescent="0.25">
      <c r="A58">
        <v>51</v>
      </c>
      <c r="L58">
        <f>IFERROR(C57,"error result")</f>
        <v>0</v>
      </c>
    </row>
    <row r="59" spans="1:13" x14ac:dyDescent="0.25">
      <c r="A59">
        <v>52</v>
      </c>
    </row>
    <row r="60" spans="1:13" x14ac:dyDescent="0.25">
      <c r="A60">
        <v>53</v>
      </c>
    </row>
    <row r="61" spans="1:13" x14ac:dyDescent="0.25">
      <c r="A61">
        <v>54</v>
      </c>
    </row>
    <row r="62" spans="1:13" x14ac:dyDescent="0.25">
      <c r="A62">
        <v>55</v>
      </c>
    </row>
    <row r="63" spans="1:13" x14ac:dyDescent="0.25">
      <c r="A63">
        <v>56</v>
      </c>
    </row>
    <row r="64" spans="1:13" x14ac:dyDescent="0.25">
      <c r="A64">
        <v>57</v>
      </c>
    </row>
    <row r="65" spans="1:12" x14ac:dyDescent="0.25">
      <c r="A65">
        <v>58</v>
      </c>
    </row>
    <row r="66" spans="1:12" x14ac:dyDescent="0.25">
      <c r="A66">
        <v>59</v>
      </c>
    </row>
    <row r="67" spans="1:12" x14ac:dyDescent="0.25">
      <c r="A67">
        <v>60</v>
      </c>
    </row>
    <row r="68" spans="1:12" x14ac:dyDescent="0.25">
      <c r="A68">
        <v>61</v>
      </c>
    </row>
    <row r="69" spans="1:12" x14ac:dyDescent="0.25">
      <c r="A69">
        <v>62</v>
      </c>
    </row>
    <row r="70" spans="1:12" x14ac:dyDescent="0.25">
      <c r="A70">
        <v>63</v>
      </c>
    </row>
    <row r="71" spans="1:12" x14ac:dyDescent="0.25">
      <c r="A71">
        <v>64</v>
      </c>
    </row>
    <row r="72" spans="1:12" x14ac:dyDescent="0.25">
      <c r="A72">
        <v>65</v>
      </c>
    </row>
    <row r="73" spans="1:12" x14ac:dyDescent="0.25">
      <c r="A73">
        <v>66</v>
      </c>
    </row>
    <row r="74" spans="1:12" x14ac:dyDescent="0.25">
      <c r="A74">
        <v>67</v>
      </c>
      <c r="L74">
        <f>IFERROR(B74,"error result")</f>
        <v>0</v>
      </c>
    </row>
    <row r="75" spans="1:12" x14ac:dyDescent="0.25">
      <c r="A75">
        <v>68</v>
      </c>
    </row>
    <row r="76" spans="1:12" x14ac:dyDescent="0.25">
      <c r="A76">
        <v>69</v>
      </c>
    </row>
    <row r="77" spans="1:12" x14ac:dyDescent="0.25">
      <c r="A77">
        <v>70</v>
      </c>
      <c r="L77" t="str">
        <f>IFERROR(INDEX(Options!A242:A243,Report!O48),"error result")</f>
        <v>Person</v>
      </c>
    </row>
    <row r="78" spans="1:12" x14ac:dyDescent="0.25">
      <c r="A78">
        <v>71</v>
      </c>
    </row>
    <row r="79" spans="1:12" x14ac:dyDescent="0.25">
      <c r="A79">
        <v>72</v>
      </c>
    </row>
    <row r="80" spans="1:12" x14ac:dyDescent="0.25">
      <c r="A80">
        <v>73</v>
      </c>
    </row>
    <row r="81" spans="1:12" x14ac:dyDescent="0.25">
      <c r="A81">
        <v>74</v>
      </c>
    </row>
    <row r="82" spans="1:12" x14ac:dyDescent="0.25">
      <c r="A82">
        <v>75</v>
      </c>
    </row>
    <row r="83" spans="1:12" x14ac:dyDescent="0.25">
      <c r="A83">
        <v>76</v>
      </c>
      <c r="L83" t="str">
        <f>IFERROR(INDEX(Options!A254:A260,Report!O50),"error result")</f>
        <v>Parent</v>
      </c>
    </row>
    <row r="84" spans="1:12" x14ac:dyDescent="0.25">
      <c r="A84">
        <v>77</v>
      </c>
    </row>
    <row r="85" spans="1:12" x14ac:dyDescent="0.25">
      <c r="A85">
        <v>78</v>
      </c>
      <c r="L85" t="str">
        <f>IFERROR(INDEX(Options!A249:A250,Report!O52),"error result")</f>
        <v>Living</v>
      </c>
    </row>
    <row r="86" spans="1:12" x14ac:dyDescent="0.25">
      <c r="A86">
        <v>79</v>
      </c>
    </row>
    <row r="87" spans="1:12" x14ac:dyDescent="0.25">
      <c r="A87">
        <v>80</v>
      </c>
      <c r="L87" t="str">
        <f>IFERROR(INDEX(Options!A263:A266,Report!O53),"error result")</f>
        <v>Close/Touching</v>
      </c>
    </row>
    <row r="88" spans="1:12" x14ac:dyDescent="0.25">
      <c r="A88">
        <v>81</v>
      </c>
    </row>
    <row r="89" spans="1:12" x14ac:dyDescent="0.25">
      <c r="A89">
        <v>82</v>
      </c>
      <c r="L89" t="str">
        <f>IFERROR(INDEX(Options!A269:A272,Report!O54),"error result")</f>
        <v>Standing/Sitting Still</v>
      </c>
    </row>
    <row r="90" spans="1:12" x14ac:dyDescent="0.25">
      <c r="A90">
        <v>83</v>
      </c>
    </row>
    <row r="91" spans="1:12" x14ac:dyDescent="0.25">
      <c r="A91">
        <v>84</v>
      </c>
      <c r="L91" t="str">
        <f>IFERROR(INDEX(Options!A275:A278,Report!O55),"error result")</f>
        <v>Positive - loving, kind, pleasant</v>
      </c>
    </row>
    <row r="92" spans="1:12" x14ac:dyDescent="0.25">
      <c r="A92">
        <v>85</v>
      </c>
    </row>
    <row r="93" spans="1:12" x14ac:dyDescent="0.25">
      <c r="A93">
        <v>86</v>
      </c>
      <c r="L93" t="str">
        <f>IFERROR(INDEX(Options!A281:A287,Report!O35),"error result")</f>
        <v>Eye contact</v>
      </c>
    </row>
    <row r="94" spans="1:12" x14ac:dyDescent="0.25">
      <c r="A94">
        <v>87</v>
      </c>
    </row>
    <row r="95" spans="1:12" x14ac:dyDescent="0.25">
      <c r="A95">
        <v>88</v>
      </c>
    </row>
    <row r="96" spans="1:12" x14ac:dyDescent="0.25">
      <c r="A96">
        <v>89</v>
      </c>
    </row>
    <row r="97" spans="1:12" x14ac:dyDescent="0.25">
      <c r="A97">
        <v>90</v>
      </c>
      <c r="L97">
        <f>K97</f>
        <v>0</v>
      </c>
    </row>
    <row r="98" spans="1:12" x14ac:dyDescent="0.25">
      <c r="A98">
        <v>91</v>
      </c>
      <c r="L98">
        <f t="shared" ref="L98:L101" si="1">K98</f>
        <v>0</v>
      </c>
    </row>
    <row r="99" spans="1:12" x14ac:dyDescent="0.25">
      <c r="A99">
        <v>92</v>
      </c>
      <c r="L99">
        <f t="shared" si="1"/>
        <v>0</v>
      </c>
    </row>
    <row r="100" spans="1:12" x14ac:dyDescent="0.25">
      <c r="A100">
        <v>93</v>
      </c>
      <c r="L100">
        <f t="shared" si="1"/>
        <v>0</v>
      </c>
    </row>
    <row r="101" spans="1:12" x14ac:dyDescent="0.25">
      <c r="A101">
        <v>94</v>
      </c>
      <c r="L101">
        <f t="shared" si="1"/>
        <v>0</v>
      </c>
    </row>
    <row r="102" spans="1:12" x14ac:dyDescent="0.25">
      <c r="A102">
        <v>95</v>
      </c>
    </row>
    <row r="103" spans="1:12" x14ac:dyDescent="0.25">
      <c r="A103">
        <v>96</v>
      </c>
    </row>
    <row r="104" spans="1:12" x14ac:dyDescent="0.25">
      <c r="A104">
        <v>97</v>
      </c>
    </row>
    <row r="105" spans="1:12" x14ac:dyDescent="0.25">
      <c r="A105">
        <v>98</v>
      </c>
      <c r="L105">
        <f>K105</f>
        <v>0</v>
      </c>
    </row>
    <row r="106" spans="1:12" x14ac:dyDescent="0.25">
      <c r="A106">
        <v>99</v>
      </c>
    </row>
    <row r="107" spans="1:12" x14ac:dyDescent="0.25">
      <c r="A107">
        <v>100</v>
      </c>
      <c r="L107">
        <f>K107</f>
        <v>0</v>
      </c>
    </row>
    <row r="108" spans="1:12" x14ac:dyDescent="0.25">
      <c r="A108">
        <v>101</v>
      </c>
      <c r="L108">
        <f>K108</f>
        <v>0</v>
      </c>
    </row>
    <row r="109" spans="1:12" x14ac:dyDescent="0.25">
      <c r="A109">
        <v>102</v>
      </c>
    </row>
    <row r="110" spans="1:12" x14ac:dyDescent="0.25">
      <c r="A110">
        <v>103</v>
      </c>
      <c r="L110">
        <f>K110</f>
        <v>0</v>
      </c>
    </row>
    <row r="111" spans="1:12" x14ac:dyDescent="0.25">
      <c r="A111">
        <v>104</v>
      </c>
    </row>
    <row r="112" spans="1:12" x14ac:dyDescent="0.25">
      <c r="A112">
        <v>105</v>
      </c>
    </row>
    <row r="113" spans="1:12" x14ac:dyDescent="0.25">
      <c r="A113">
        <v>106</v>
      </c>
    </row>
    <row r="114" spans="1:12" x14ac:dyDescent="0.25">
      <c r="A114">
        <v>107</v>
      </c>
    </row>
    <row r="115" spans="1:12" x14ac:dyDescent="0.25">
      <c r="A115">
        <v>108</v>
      </c>
    </row>
    <row r="116" spans="1:12" x14ac:dyDescent="0.25">
      <c r="A116">
        <v>109</v>
      </c>
      <c r="L116">
        <f>K116</f>
        <v>0</v>
      </c>
    </row>
    <row r="117" spans="1:12" x14ac:dyDescent="0.25">
      <c r="A117">
        <v>110</v>
      </c>
    </row>
    <row r="120" spans="1:12" x14ac:dyDescent="0.25">
      <c r="A120" s="2" t="s">
        <v>27</v>
      </c>
    </row>
    <row r="121" spans="1:12" x14ac:dyDescent="0.25">
      <c r="A121" s="2"/>
    </row>
    <row r="122" spans="1:12" x14ac:dyDescent="0.25">
      <c r="A122" t="s">
        <v>2</v>
      </c>
    </row>
    <row r="123" spans="1:12" x14ac:dyDescent="0.25">
      <c r="A123" t="s">
        <v>3</v>
      </c>
    </row>
    <row r="124" spans="1:12" x14ac:dyDescent="0.25">
      <c r="A124" t="s">
        <v>4</v>
      </c>
    </row>
    <row r="125" spans="1:12" x14ac:dyDescent="0.25">
      <c r="A125" t="s">
        <v>5</v>
      </c>
    </row>
    <row r="126" spans="1:12" x14ac:dyDescent="0.25">
      <c r="A126" t="s">
        <v>6</v>
      </c>
    </row>
    <row r="127" spans="1:12" x14ac:dyDescent="0.25">
      <c r="A127" t="s">
        <v>7</v>
      </c>
    </row>
    <row r="128" spans="1:12" x14ac:dyDescent="0.25">
      <c r="A128" t="s">
        <v>8</v>
      </c>
    </row>
    <row r="129" spans="1:1" x14ac:dyDescent="0.25">
      <c r="A129" t="s">
        <v>9</v>
      </c>
    </row>
    <row r="131" spans="1:1" x14ac:dyDescent="0.25">
      <c r="A131" s="2" t="s">
        <v>10</v>
      </c>
    </row>
    <row r="132" spans="1:1" x14ac:dyDescent="0.25">
      <c r="A132" s="2"/>
    </row>
    <row r="133" spans="1:1" x14ac:dyDescent="0.25">
      <c r="A133" t="s">
        <v>11</v>
      </c>
    </row>
    <row r="134" spans="1:1" x14ac:dyDescent="0.25">
      <c r="A134" t="s">
        <v>12</v>
      </c>
    </row>
    <row r="135" spans="1:1" x14ac:dyDescent="0.25">
      <c r="A135" t="s">
        <v>13</v>
      </c>
    </row>
    <row r="136" spans="1:1" x14ac:dyDescent="0.25">
      <c r="A136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20</v>
      </c>
    </row>
    <row r="143" spans="1:1" x14ac:dyDescent="0.25">
      <c r="A143" t="s">
        <v>21</v>
      </c>
    </row>
    <row r="144" spans="1:1" x14ac:dyDescent="0.25">
      <c r="A144" t="s">
        <v>22</v>
      </c>
    </row>
    <row r="145" spans="1:2" x14ac:dyDescent="0.25">
      <c r="A145" t="s">
        <v>23</v>
      </c>
    </row>
    <row r="146" spans="1:2" x14ac:dyDescent="0.25">
      <c r="A146" t="s">
        <v>24</v>
      </c>
    </row>
    <row r="147" spans="1:2" x14ac:dyDescent="0.25">
      <c r="A147" t="s">
        <v>25</v>
      </c>
    </row>
    <row r="148" spans="1:2" x14ac:dyDescent="0.25">
      <c r="A148" t="s">
        <v>8</v>
      </c>
    </row>
    <row r="150" spans="1:2" x14ac:dyDescent="0.25">
      <c r="A150" s="2" t="s">
        <v>28</v>
      </c>
    </row>
    <row r="152" spans="1:2" x14ac:dyDescent="0.25">
      <c r="A152" s="2" t="s">
        <v>29</v>
      </c>
    </row>
    <row r="153" spans="1:2" x14ac:dyDescent="0.25">
      <c r="A153" s="2"/>
    </row>
    <row r="154" spans="1:2" x14ac:dyDescent="0.25">
      <c r="A154" t="s">
        <v>30</v>
      </c>
      <c r="B154">
        <v>6</v>
      </c>
    </row>
    <row r="155" spans="1:2" x14ac:dyDescent="0.25">
      <c r="A155" t="s">
        <v>31</v>
      </c>
      <c r="B155">
        <v>5</v>
      </c>
    </row>
    <row r="156" spans="1:2" x14ac:dyDescent="0.25">
      <c r="A156" t="s">
        <v>32</v>
      </c>
      <c r="B156">
        <v>4</v>
      </c>
    </row>
    <row r="157" spans="1:2" x14ac:dyDescent="0.25">
      <c r="A157" t="s">
        <v>33</v>
      </c>
      <c r="B157">
        <v>3</v>
      </c>
    </row>
    <row r="158" spans="1:2" x14ac:dyDescent="0.25">
      <c r="A158" t="s">
        <v>34</v>
      </c>
      <c r="B158">
        <v>2</v>
      </c>
    </row>
    <row r="159" spans="1:2" x14ac:dyDescent="0.25">
      <c r="A159" t="s">
        <v>35</v>
      </c>
      <c r="B159">
        <v>1</v>
      </c>
    </row>
    <row r="161" spans="1:2" x14ac:dyDescent="0.25">
      <c r="A161" t="s">
        <v>36</v>
      </c>
    </row>
    <row r="163" spans="1:2" x14ac:dyDescent="0.25">
      <c r="A163" s="2" t="s">
        <v>78</v>
      </c>
    </row>
    <row r="164" spans="1:2" x14ac:dyDescent="0.25">
      <c r="A164" s="2"/>
    </row>
    <row r="165" spans="1:2" x14ac:dyDescent="0.25">
      <c r="A165" t="s">
        <v>38</v>
      </c>
    </row>
    <row r="166" spans="1:2" x14ac:dyDescent="0.25">
      <c r="A166" t="s">
        <v>39</v>
      </c>
    </row>
    <row r="167" spans="1:2" x14ac:dyDescent="0.25">
      <c r="A167" t="s">
        <v>40</v>
      </c>
    </row>
    <row r="168" spans="1:2" x14ac:dyDescent="0.25">
      <c r="A168" t="s">
        <v>41</v>
      </c>
    </row>
    <row r="170" spans="1:2" x14ac:dyDescent="0.25">
      <c r="A170" s="2" t="s">
        <v>37</v>
      </c>
    </row>
    <row r="171" spans="1:2" x14ac:dyDescent="0.25">
      <c r="A171" s="1" t="s">
        <v>42</v>
      </c>
    </row>
    <row r="172" spans="1:2" x14ac:dyDescent="0.25">
      <c r="A172" s="1"/>
    </row>
    <row r="173" spans="1:2" x14ac:dyDescent="0.25">
      <c r="A173" t="s">
        <v>63</v>
      </c>
      <c r="B173">
        <v>4</v>
      </c>
    </row>
    <row r="174" spans="1:2" x14ac:dyDescent="0.25">
      <c r="A174" t="s">
        <v>64</v>
      </c>
      <c r="B174">
        <v>3</v>
      </c>
    </row>
    <row r="175" spans="1:2" x14ac:dyDescent="0.25">
      <c r="A175" t="s">
        <v>65</v>
      </c>
      <c r="B175">
        <v>2</v>
      </c>
    </row>
    <row r="176" spans="1:2" x14ac:dyDescent="0.25">
      <c r="A176" t="s">
        <v>66</v>
      </c>
      <c r="B176">
        <v>1</v>
      </c>
    </row>
    <row r="177" spans="1:2" x14ac:dyDescent="0.25">
      <c r="A177" s="1" t="s">
        <v>67</v>
      </c>
    </row>
    <row r="178" spans="1:2" x14ac:dyDescent="0.25">
      <c r="A178" s="1"/>
    </row>
    <row r="179" spans="1:2" x14ac:dyDescent="0.25">
      <c r="A179" t="s">
        <v>68</v>
      </c>
      <c r="B179">
        <v>5</v>
      </c>
    </row>
    <row r="180" spans="1:2" x14ac:dyDescent="0.25">
      <c r="A180" t="s">
        <v>69</v>
      </c>
      <c r="B180">
        <v>4</v>
      </c>
    </row>
    <row r="181" spans="1:2" x14ac:dyDescent="0.25">
      <c r="A181" t="s">
        <v>77</v>
      </c>
      <c r="B181">
        <v>3</v>
      </c>
    </row>
    <row r="182" spans="1:2" x14ac:dyDescent="0.25">
      <c r="A182" t="s">
        <v>70</v>
      </c>
      <c r="B182">
        <v>2</v>
      </c>
    </row>
    <row r="183" spans="1:2" x14ac:dyDescent="0.25">
      <c r="A183" t="s">
        <v>66</v>
      </c>
      <c r="B183">
        <v>1</v>
      </c>
    </row>
    <row r="184" spans="1:2" x14ac:dyDescent="0.25">
      <c r="A184" s="1" t="s">
        <v>71</v>
      </c>
    </row>
    <row r="185" spans="1:2" x14ac:dyDescent="0.25">
      <c r="A185" s="1"/>
    </row>
    <row r="186" spans="1:2" x14ac:dyDescent="0.25">
      <c r="A186" t="s">
        <v>72</v>
      </c>
      <c r="B186">
        <v>6</v>
      </c>
    </row>
    <row r="187" spans="1:2" x14ac:dyDescent="0.25">
      <c r="A187" t="s">
        <v>73</v>
      </c>
      <c r="B187">
        <v>5</v>
      </c>
    </row>
    <row r="188" spans="1:2" x14ac:dyDescent="0.25">
      <c r="A188" t="s">
        <v>74</v>
      </c>
      <c r="B188">
        <v>4</v>
      </c>
    </row>
    <row r="189" spans="1:2" x14ac:dyDescent="0.25">
      <c r="A189" t="s">
        <v>75</v>
      </c>
      <c r="B189">
        <v>3</v>
      </c>
    </row>
    <row r="190" spans="1:2" x14ac:dyDescent="0.25">
      <c r="A190" t="s">
        <v>76</v>
      </c>
      <c r="B190">
        <v>2</v>
      </c>
    </row>
    <row r="191" spans="1:2" x14ac:dyDescent="0.25">
      <c r="A191" t="s">
        <v>66</v>
      </c>
      <c r="B191">
        <v>1</v>
      </c>
    </row>
    <row r="193" spans="1:5" x14ac:dyDescent="0.25">
      <c r="A193">
        <v>13</v>
      </c>
      <c r="B193" t="s">
        <v>79</v>
      </c>
    </row>
    <row r="194" spans="1:5" x14ac:dyDescent="0.25">
      <c r="A194">
        <v>9</v>
      </c>
      <c r="B194" t="s">
        <v>80</v>
      </c>
    </row>
    <row r="195" spans="1:5" x14ac:dyDescent="0.25">
      <c r="A195">
        <v>3</v>
      </c>
      <c r="B195" t="s">
        <v>81</v>
      </c>
    </row>
    <row r="197" spans="1:5" x14ac:dyDescent="0.25">
      <c r="A197" t="s">
        <v>43</v>
      </c>
    </row>
    <row r="198" spans="1:5" x14ac:dyDescent="0.25">
      <c r="A198" t="s">
        <v>44</v>
      </c>
    </row>
    <row r="199" spans="1:5" x14ac:dyDescent="0.25">
      <c r="A199" t="s">
        <v>45</v>
      </c>
      <c r="B199" t="s">
        <v>48</v>
      </c>
      <c r="C199" t="s">
        <v>52</v>
      </c>
      <c r="D199" t="s">
        <v>53</v>
      </c>
      <c r="E199" t="s">
        <v>54</v>
      </c>
    </row>
    <row r="200" spans="1:5" x14ac:dyDescent="0.25">
      <c r="A200" t="s">
        <v>46</v>
      </c>
    </row>
    <row r="201" spans="1:5" x14ac:dyDescent="0.25">
      <c r="A201" t="s">
        <v>47</v>
      </c>
    </row>
    <row r="202" spans="1:5" x14ac:dyDescent="0.25">
      <c r="A202" t="s">
        <v>49</v>
      </c>
    </row>
    <row r="203" spans="1:5" x14ac:dyDescent="0.25">
      <c r="A203" t="s">
        <v>50</v>
      </c>
    </row>
    <row r="204" spans="1:5" x14ac:dyDescent="0.25">
      <c r="A204" t="s">
        <v>51</v>
      </c>
    </row>
    <row r="205" spans="1:5" x14ac:dyDescent="0.25">
      <c r="A205" t="s">
        <v>55</v>
      </c>
    </row>
    <row r="206" spans="1:5" x14ac:dyDescent="0.25">
      <c r="A206" t="s">
        <v>56</v>
      </c>
    </row>
    <row r="207" spans="1:5" x14ac:dyDescent="0.25">
      <c r="A207" t="s">
        <v>57</v>
      </c>
    </row>
    <row r="208" spans="1:5" x14ac:dyDescent="0.25">
      <c r="A208" t="s">
        <v>58</v>
      </c>
    </row>
    <row r="209" spans="1:2" x14ac:dyDescent="0.25">
      <c r="A209" t="s">
        <v>59</v>
      </c>
    </row>
    <row r="210" spans="1:2" x14ac:dyDescent="0.25">
      <c r="A210" t="s">
        <v>60</v>
      </c>
    </row>
    <row r="211" spans="1:2" x14ac:dyDescent="0.25">
      <c r="A211" t="s">
        <v>61</v>
      </c>
    </row>
    <row r="212" spans="1:2" x14ac:dyDescent="0.25">
      <c r="A212" t="s">
        <v>62</v>
      </c>
    </row>
    <row r="214" spans="1:2" x14ac:dyDescent="0.25">
      <c r="A214" s="2" t="s">
        <v>82</v>
      </c>
    </row>
    <row r="215" spans="1:2" x14ac:dyDescent="0.25">
      <c r="A215" s="1" t="s">
        <v>83</v>
      </c>
    </row>
    <row r="216" spans="1:2" x14ac:dyDescent="0.25">
      <c r="A216" s="1"/>
    </row>
    <row r="217" spans="1:2" x14ac:dyDescent="0.25">
      <c r="A217" t="s">
        <v>84</v>
      </c>
      <c r="B217">
        <v>4</v>
      </c>
    </row>
    <row r="218" spans="1:2" x14ac:dyDescent="0.25">
      <c r="A218" t="s">
        <v>85</v>
      </c>
      <c r="B218">
        <v>3</v>
      </c>
    </row>
    <row r="219" spans="1:2" x14ac:dyDescent="0.25">
      <c r="A219" t="s">
        <v>86</v>
      </c>
      <c r="B219">
        <v>2</v>
      </c>
    </row>
    <row r="220" spans="1:2" x14ac:dyDescent="0.25">
      <c r="A220" t="s">
        <v>87</v>
      </c>
      <c r="B220">
        <v>1</v>
      </c>
    </row>
    <row r="221" spans="1:2" x14ac:dyDescent="0.25">
      <c r="A221" s="1" t="s">
        <v>88</v>
      </c>
    </row>
    <row r="222" spans="1:2" x14ac:dyDescent="0.25">
      <c r="A222" s="1"/>
    </row>
    <row r="223" spans="1:2" x14ac:dyDescent="0.25">
      <c r="A223" t="s">
        <v>89</v>
      </c>
      <c r="B223">
        <v>4</v>
      </c>
    </row>
    <row r="224" spans="1:2" x14ac:dyDescent="0.25">
      <c r="A224" t="s">
        <v>90</v>
      </c>
      <c r="B224">
        <v>3</v>
      </c>
    </row>
    <row r="225" spans="1:2" x14ac:dyDescent="0.25">
      <c r="A225" t="s">
        <v>86</v>
      </c>
      <c r="B225">
        <v>2</v>
      </c>
    </row>
    <row r="226" spans="1:2" x14ac:dyDescent="0.25">
      <c r="A226" t="s">
        <v>87</v>
      </c>
      <c r="B226">
        <v>1</v>
      </c>
    </row>
    <row r="227" spans="1:2" x14ac:dyDescent="0.25">
      <c r="A227" s="1" t="s">
        <v>91</v>
      </c>
    </row>
    <row r="228" spans="1:2" x14ac:dyDescent="0.25">
      <c r="A228" s="1"/>
    </row>
    <row r="229" spans="1:2" x14ac:dyDescent="0.25">
      <c r="A229" t="s">
        <v>92</v>
      </c>
      <c r="B229">
        <v>3</v>
      </c>
    </row>
    <row r="230" spans="1:2" x14ac:dyDescent="0.25">
      <c r="A230" t="s">
        <v>93</v>
      </c>
      <c r="B230">
        <v>2</v>
      </c>
    </row>
    <row r="231" spans="1:2" x14ac:dyDescent="0.25">
      <c r="A231" t="s">
        <v>66</v>
      </c>
      <c r="B231">
        <v>1</v>
      </c>
    </row>
    <row r="233" spans="1:2" x14ac:dyDescent="0.25">
      <c r="A233" t="s">
        <v>94</v>
      </c>
    </row>
    <row r="234" spans="1:2" x14ac:dyDescent="0.25">
      <c r="A234" t="s">
        <v>95</v>
      </c>
      <c r="B234">
        <v>1</v>
      </c>
    </row>
    <row r="235" spans="1:2" x14ac:dyDescent="0.25">
      <c r="A235" t="s">
        <v>96</v>
      </c>
      <c r="B235">
        <v>1</v>
      </c>
    </row>
    <row r="236" spans="1:2" x14ac:dyDescent="0.25">
      <c r="A236" t="s">
        <v>97</v>
      </c>
      <c r="B236">
        <v>1</v>
      </c>
    </row>
    <row r="237" spans="1:2" x14ac:dyDescent="0.25">
      <c r="A237" t="s">
        <v>98</v>
      </c>
      <c r="B237">
        <v>1</v>
      </c>
    </row>
    <row r="239" spans="1:2" x14ac:dyDescent="0.25">
      <c r="A239" s="2" t="s">
        <v>99</v>
      </c>
    </row>
    <row r="240" spans="1:2" x14ac:dyDescent="0.25">
      <c r="A240" s="1" t="s">
        <v>112</v>
      </c>
    </row>
    <row r="242" spans="1:1" x14ac:dyDescent="0.25">
      <c r="A242" t="s">
        <v>95</v>
      </c>
    </row>
    <row r="243" spans="1:1" x14ac:dyDescent="0.25">
      <c r="A243" t="s">
        <v>100</v>
      </c>
    </row>
    <row r="244" spans="1:1" x14ac:dyDescent="0.25">
      <c r="A244" t="s">
        <v>155</v>
      </c>
    </row>
    <row r="245" spans="1:1" x14ac:dyDescent="0.25">
      <c r="A245" t="s">
        <v>156</v>
      </c>
    </row>
    <row r="247" spans="1:1" x14ac:dyDescent="0.25">
      <c r="A247" s="1" t="s">
        <v>113</v>
      </c>
    </row>
    <row r="248" spans="1:1" x14ac:dyDescent="0.25">
      <c r="A248" s="1"/>
    </row>
    <row r="249" spans="1:1" x14ac:dyDescent="0.25">
      <c r="A249" t="s">
        <v>105</v>
      </c>
    </row>
    <row r="250" spans="1:1" x14ac:dyDescent="0.25">
      <c r="A250" t="s">
        <v>106</v>
      </c>
    </row>
    <row r="251" spans="1:1" x14ac:dyDescent="0.25">
      <c r="A251" t="s">
        <v>9</v>
      </c>
    </row>
    <row r="252" spans="1:1" x14ac:dyDescent="0.25">
      <c r="A252" s="1" t="s">
        <v>114</v>
      </c>
    </row>
    <row r="253" spans="1:1" x14ac:dyDescent="0.25">
      <c r="A253" s="1"/>
    </row>
    <row r="254" spans="1:1" x14ac:dyDescent="0.25">
      <c r="A254" t="s">
        <v>101</v>
      </c>
    </row>
    <row r="255" spans="1:1" x14ac:dyDescent="0.25">
      <c r="A255" t="s">
        <v>102</v>
      </c>
    </row>
    <row r="256" spans="1:1" x14ac:dyDescent="0.25">
      <c r="A256" t="s">
        <v>103</v>
      </c>
    </row>
    <row r="257" spans="1:1" x14ac:dyDescent="0.25">
      <c r="A257" t="s">
        <v>104</v>
      </c>
    </row>
    <row r="258" spans="1:1" x14ac:dyDescent="0.25">
      <c r="A258" t="s">
        <v>133</v>
      </c>
    </row>
    <row r="259" spans="1:1" x14ac:dyDescent="0.25">
      <c r="A259" t="s">
        <v>132</v>
      </c>
    </row>
    <row r="260" spans="1:1" x14ac:dyDescent="0.25">
      <c r="A260" t="s">
        <v>8</v>
      </c>
    </row>
    <row r="261" spans="1:1" x14ac:dyDescent="0.25">
      <c r="A261" s="1" t="s">
        <v>115</v>
      </c>
    </row>
    <row r="262" spans="1:1" x14ac:dyDescent="0.25">
      <c r="A262" s="1"/>
    </row>
    <row r="263" spans="1:1" x14ac:dyDescent="0.25">
      <c r="A263" t="s">
        <v>111</v>
      </c>
    </row>
    <row r="264" spans="1:1" x14ac:dyDescent="0.25">
      <c r="A264" t="s">
        <v>108</v>
      </c>
    </row>
    <row r="265" spans="1:1" x14ac:dyDescent="0.25">
      <c r="A265" t="s">
        <v>109</v>
      </c>
    </row>
    <row r="266" spans="1:1" x14ac:dyDescent="0.25">
      <c r="A266" t="s">
        <v>110</v>
      </c>
    </row>
    <row r="267" spans="1:1" x14ac:dyDescent="0.25">
      <c r="A267" s="1" t="s">
        <v>134</v>
      </c>
    </row>
    <row r="268" spans="1:1" x14ac:dyDescent="0.25">
      <c r="A268" s="1"/>
    </row>
    <row r="269" spans="1:1" x14ac:dyDescent="0.25">
      <c r="A269" t="s">
        <v>116</v>
      </c>
    </row>
    <row r="270" spans="1:1" x14ac:dyDescent="0.25">
      <c r="A270" t="s">
        <v>117</v>
      </c>
    </row>
    <row r="271" spans="1:1" x14ac:dyDescent="0.25">
      <c r="A271" t="s">
        <v>118</v>
      </c>
    </row>
    <row r="272" spans="1:1" x14ac:dyDescent="0.25">
      <c r="A272" t="s">
        <v>107</v>
      </c>
    </row>
    <row r="273" spans="1:1" x14ac:dyDescent="0.25">
      <c r="A273" s="2" t="s">
        <v>157</v>
      </c>
    </row>
    <row r="274" spans="1:1" x14ac:dyDescent="0.25">
      <c r="A274" s="2"/>
    </row>
    <row r="275" spans="1:1" x14ac:dyDescent="0.25">
      <c r="A275" t="s">
        <v>122</v>
      </c>
    </row>
    <row r="276" spans="1:1" x14ac:dyDescent="0.25">
      <c r="A276" t="s">
        <v>123</v>
      </c>
    </row>
    <row r="277" spans="1:1" x14ac:dyDescent="0.25">
      <c r="A277" t="s">
        <v>124</v>
      </c>
    </row>
    <row r="278" spans="1:1" x14ac:dyDescent="0.25">
      <c r="A278" t="s">
        <v>66</v>
      </c>
    </row>
    <row r="279" spans="1:1" x14ac:dyDescent="0.25">
      <c r="A279" s="2" t="s">
        <v>125</v>
      </c>
    </row>
    <row r="280" spans="1:1" x14ac:dyDescent="0.25">
      <c r="A280" s="2"/>
    </row>
    <row r="281" spans="1:1" x14ac:dyDescent="0.25">
      <c r="A281" s="3" t="s">
        <v>130</v>
      </c>
    </row>
    <row r="282" spans="1:1" x14ac:dyDescent="0.25">
      <c r="A282" s="3" t="s">
        <v>63</v>
      </c>
    </row>
    <row r="283" spans="1:1" x14ac:dyDescent="0.25">
      <c r="A283" s="3" t="s">
        <v>126</v>
      </c>
    </row>
    <row r="284" spans="1:1" x14ac:dyDescent="0.25">
      <c r="A284" s="3" t="s">
        <v>127</v>
      </c>
    </row>
    <row r="285" spans="1:1" x14ac:dyDescent="0.25">
      <c r="A285" s="3" t="s">
        <v>128</v>
      </c>
    </row>
    <row r="286" spans="1:1" x14ac:dyDescent="0.25">
      <c r="A286" s="3" t="s">
        <v>68</v>
      </c>
    </row>
    <row r="287" spans="1:1" x14ac:dyDescent="0.25">
      <c r="A287" s="3" t="s">
        <v>129</v>
      </c>
    </row>
    <row r="288" spans="1:1" x14ac:dyDescent="0.25">
      <c r="A288" s="2" t="s">
        <v>119</v>
      </c>
    </row>
    <row r="289" spans="1:1" x14ac:dyDescent="0.25">
      <c r="A289" s="2"/>
    </row>
    <row r="290" spans="1:1" x14ac:dyDescent="0.25">
      <c r="A290" t="s">
        <v>120</v>
      </c>
    </row>
    <row r="291" spans="1:1" x14ac:dyDescent="0.25">
      <c r="A291" t="s">
        <v>121</v>
      </c>
    </row>
    <row r="292" spans="1:1" x14ac:dyDescent="0.25">
      <c r="A292" s="2" t="s">
        <v>131</v>
      </c>
    </row>
    <row r="295" spans="1:1" x14ac:dyDescent="0.25">
      <c r="A295" s="2" t="s">
        <v>152</v>
      </c>
    </row>
    <row r="296" spans="1:1" x14ac:dyDescent="0.25">
      <c r="A296" s="2"/>
    </row>
    <row r="297" spans="1:1" x14ac:dyDescent="0.25">
      <c r="A297" t="s">
        <v>153</v>
      </c>
    </row>
    <row r="298" spans="1:1" x14ac:dyDescent="0.25">
      <c r="A298" t="s">
        <v>154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2DC1-D12F-4287-8700-47DFF5B02DDE}">
  <sheetPr codeName="Sheet5"/>
  <dimension ref="A1:DJ14"/>
  <sheetViews>
    <sheetView workbookViewId="0">
      <selection activeCell="D14" sqref="D14:DI14"/>
    </sheetView>
  </sheetViews>
  <sheetFormatPr defaultColWidth="9.140625" defaultRowHeight="15" x14ac:dyDescent="0.25"/>
  <cols>
    <col min="1" max="1" width="14.85546875" style="5" bestFit="1" customWidth="1"/>
    <col min="2" max="2" width="15.7109375" style="19" customWidth="1"/>
    <col min="3" max="3" width="14.85546875" style="20" customWidth="1"/>
    <col min="4" max="16384" width="9.140625" style="5"/>
  </cols>
  <sheetData>
    <row r="1" spans="1:114" x14ac:dyDescent="0.25">
      <c r="A1" s="5" t="s">
        <v>136</v>
      </c>
      <c r="B1" s="19" t="s">
        <v>149</v>
      </c>
      <c r="C1" s="20" t="s">
        <v>256</v>
      </c>
      <c r="D1" t="s">
        <v>26</v>
      </c>
      <c r="E1" t="s">
        <v>137</v>
      </c>
      <c r="F1" t="s">
        <v>27</v>
      </c>
      <c r="G1" t="s">
        <v>10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212</v>
      </c>
      <c r="AJ1" t="s">
        <v>213</v>
      </c>
      <c r="AK1" t="s">
        <v>214</v>
      </c>
      <c r="AL1" t="s">
        <v>243</v>
      </c>
      <c r="AM1" t="s">
        <v>215</v>
      </c>
      <c r="AN1" t="s">
        <v>216</v>
      </c>
      <c r="AO1" t="s">
        <v>217</v>
      </c>
      <c r="AP1" t="s">
        <v>218</v>
      </c>
      <c r="AQ1" t="s">
        <v>219</v>
      </c>
      <c r="AR1" t="s">
        <v>220</v>
      </c>
      <c r="AS1" t="s">
        <v>221</v>
      </c>
      <c r="AT1" t="s">
        <v>222</v>
      </c>
      <c r="AU1" t="s">
        <v>223</v>
      </c>
      <c r="AV1" t="s">
        <v>224</v>
      </c>
      <c r="AW1" t="s">
        <v>225</v>
      </c>
      <c r="AX1" t="s">
        <v>226</v>
      </c>
      <c r="AY1" t="s">
        <v>227</v>
      </c>
      <c r="AZ1" t="s">
        <v>138</v>
      </c>
      <c r="BA1" t="s">
        <v>151</v>
      </c>
      <c r="BB1" t="s">
        <v>114</v>
      </c>
      <c r="BC1" t="s">
        <v>248</v>
      </c>
      <c r="BD1" t="s">
        <v>113</v>
      </c>
      <c r="BE1" t="s">
        <v>115</v>
      </c>
      <c r="BF1" t="s">
        <v>134</v>
      </c>
      <c r="BG1" t="s">
        <v>157</v>
      </c>
      <c r="BH1" t="s">
        <v>139</v>
      </c>
      <c r="BI1" t="s">
        <v>140</v>
      </c>
      <c r="BJ1" t="s">
        <v>141</v>
      </c>
      <c r="BK1" t="s">
        <v>142</v>
      </c>
      <c r="BL1" t="s">
        <v>135</v>
      </c>
      <c r="BM1" t="s">
        <v>143</v>
      </c>
      <c r="BN1" t="s">
        <v>144</v>
      </c>
      <c r="BO1" t="s">
        <v>145</v>
      </c>
      <c r="BP1" t="s">
        <v>147</v>
      </c>
      <c r="BQ1" t="s">
        <v>148</v>
      </c>
      <c r="BR1" t="s">
        <v>185</v>
      </c>
      <c r="BS1" t="s">
        <v>186</v>
      </c>
      <c r="BT1" t="s">
        <v>187</v>
      </c>
      <c r="BU1" t="s">
        <v>188</v>
      </c>
      <c r="BV1" t="s">
        <v>189</v>
      </c>
      <c r="BW1" t="s">
        <v>190</v>
      </c>
      <c r="BX1" t="s">
        <v>191</v>
      </c>
      <c r="BY1" t="s">
        <v>192</v>
      </c>
      <c r="BZ1" t="s">
        <v>193</v>
      </c>
      <c r="CA1" t="s">
        <v>194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200</v>
      </c>
      <c r="CH1" t="s">
        <v>201</v>
      </c>
      <c r="CI1" t="s">
        <v>202</v>
      </c>
      <c r="CJ1" t="s">
        <v>203</v>
      </c>
      <c r="CK1" t="s">
        <v>204</v>
      </c>
      <c r="CL1" t="s">
        <v>205</v>
      </c>
      <c r="CM1" t="s">
        <v>206</v>
      </c>
      <c r="CN1" t="s">
        <v>207</v>
      </c>
      <c r="CO1" t="s">
        <v>208</v>
      </c>
      <c r="CP1" t="s">
        <v>209</v>
      </c>
      <c r="CQ1" t="s">
        <v>210</v>
      </c>
      <c r="CR1" t="s">
        <v>211</v>
      </c>
      <c r="CS1" t="s">
        <v>229</v>
      </c>
      <c r="CT1" t="s">
        <v>228</v>
      </c>
      <c r="CU1" t="s">
        <v>244</v>
      </c>
      <c r="CV1" t="s">
        <v>230</v>
      </c>
      <c r="CW1" t="s">
        <v>231</v>
      </c>
      <c r="CX1" t="s">
        <v>232</v>
      </c>
      <c r="CY1" t="s">
        <v>233</v>
      </c>
      <c r="CZ1" t="s">
        <v>234</v>
      </c>
      <c r="DA1" t="s">
        <v>235</v>
      </c>
      <c r="DB1" t="s">
        <v>236</v>
      </c>
      <c r="DC1" t="s">
        <v>237</v>
      </c>
      <c r="DD1" t="s">
        <v>238</v>
      </c>
      <c r="DE1" t="s">
        <v>239</v>
      </c>
      <c r="DF1" t="s">
        <v>240</v>
      </c>
      <c r="DG1" t="s">
        <v>241</v>
      </c>
      <c r="DH1" t="s">
        <v>242</v>
      </c>
      <c r="DI1" t="s">
        <v>152</v>
      </c>
      <c r="DJ1"/>
    </row>
    <row r="2" spans="1:114" x14ac:dyDescent="0.25">
      <c r="A2" s="5">
        <v>1</v>
      </c>
      <c r="B2" s="19">
        <v>45031</v>
      </c>
      <c r="C2" s="20">
        <v>0.51874999999999993</v>
      </c>
      <c r="D2" s="5" t="s">
        <v>1</v>
      </c>
      <c r="E2" s="5">
        <v>40</v>
      </c>
      <c r="F2" s="5" t="s">
        <v>5</v>
      </c>
      <c r="G2" s="5" t="s">
        <v>15</v>
      </c>
      <c r="H2" s="5" t="b">
        <v>1</v>
      </c>
      <c r="I2" s="5" t="b">
        <v>0</v>
      </c>
      <c r="J2" s="5" t="b">
        <v>0</v>
      </c>
      <c r="K2" s="5" t="b">
        <v>0</v>
      </c>
      <c r="L2" s="5" t="b">
        <v>0</v>
      </c>
      <c r="M2" s="5" t="b">
        <v>0</v>
      </c>
      <c r="N2" s="5" t="b">
        <v>0</v>
      </c>
      <c r="O2" s="5" t="b">
        <v>0</v>
      </c>
      <c r="P2" s="5" t="b">
        <v>0</v>
      </c>
      <c r="Q2" s="5" t="b">
        <v>1</v>
      </c>
      <c r="R2" s="5" t="b">
        <v>1</v>
      </c>
      <c r="S2" s="5" t="b">
        <v>0</v>
      </c>
      <c r="T2" s="5" t="b">
        <v>0</v>
      </c>
      <c r="U2" s="5" t="b">
        <v>0</v>
      </c>
      <c r="V2" s="5" t="b">
        <v>0</v>
      </c>
      <c r="W2" s="5" t="b">
        <v>0</v>
      </c>
      <c r="X2" s="5" t="b">
        <v>0</v>
      </c>
      <c r="Y2" s="5" t="b">
        <v>0</v>
      </c>
      <c r="Z2" s="5" t="b">
        <v>0</v>
      </c>
      <c r="AA2" s="5" t="b">
        <v>1</v>
      </c>
      <c r="AB2" s="5" t="b">
        <v>1</v>
      </c>
      <c r="AC2" s="5" t="b">
        <v>0</v>
      </c>
      <c r="AD2" s="5" t="b">
        <v>0</v>
      </c>
      <c r="AE2" s="5" t="b">
        <v>0</v>
      </c>
      <c r="AF2" s="5" t="b">
        <v>0</v>
      </c>
      <c r="AG2" s="5" t="b">
        <v>0</v>
      </c>
      <c r="AH2" s="5" t="b">
        <v>1</v>
      </c>
      <c r="AI2" s="5" t="s">
        <v>31</v>
      </c>
      <c r="AJ2" s="5" t="s">
        <v>245</v>
      </c>
      <c r="AK2" s="5" t="s">
        <v>246</v>
      </c>
      <c r="AL2" s="5" t="s">
        <v>128</v>
      </c>
      <c r="AM2" s="5" t="s">
        <v>64</v>
      </c>
      <c r="AN2" s="5" t="s">
        <v>77</v>
      </c>
      <c r="AO2" s="5" t="s">
        <v>73</v>
      </c>
      <c r="AP2" s="5">
        <v>11</v>
      </c>
      <c r="AQ2" s="5" t="s">
        <v>80</v>
      </c>
      <c r="AR2" s="5" t="s">
        <v>84</v>
      </c>
      <c r="AS2" s="5" t="s">
        <v>90</v>
      </c>
      <c r="AT2" s="5" t="s">
        <v>93</v>
      </c>
      <c r="AU2" s="5" t="b">
        <v>1</v>
      </c>
      <c r="AV2" s="5" t="b">
        <v>1</v>
      </c>
      <c r="AW2" s="5" t="b">
        <v>1</v>
      </c>
      <c r="AX2" s="5" t="b">
        <v>0</v>
      </c>
      <c r="AY2" s="5">
        <v>3</v>
      </c>
      <c r="AZ2" s="5" t="s">
        <v>95</v>
      </c>
      <c r="BA2" s="5" t="s">
        <v>247</v>
      </c>
      <c r="BB2" s="5" t="s">
        <v>101</v>
      </c>
      <c r="BC2" s="5" t="s">
        <v>247</v>
      </c>
      <c r="BD2" s="5" t="s">
        <v>105</v>
      </c>
      <c r="BE2" s="5" t="s">
        <v>108</v>
      </c>
      <c r="BF2" s="5" t="s">
        <v>107</v>
      </c>
      <c r="BG2" s="5" t="s">
        <v>123</v>
      </c>
      <c r="BH2" s="5" t="b">
        <v>1</v>
      </c>
      <c r="BI2" s="5" t="b">
        <v>1</v>
      </c>
      <c r="BJ2" s="5" t="b">
        <v>1</v>
      </c>
      <c r="BK2" s="5" t="b">
        <v>0</v>
      </c>
      <c r="BL2" s="5" t="b">
        <v>1</v>
      </c>
      <c r="BM2" s="5">
        <v>600</v>
      </c>
      <c r="BN2" s="5">
        <v>24352</v>
      </c>
      <c r="BO2" s="5">
        <v>2345</v>
      </c>
      <c r="BP2" s="5" t="s">
        <v>252</v>
      </c>
      <c r="BQ2" s="5" t="s">
        <v>253</v>
      </c>
      <c r="BR2" s="5" t="b">
        <v>1</v>
      </c>
      <c r="BS2" s="5" t="b">
        <v>0</v>
      </c>
      <c r="BT2" s="5" t="b">
        <v>0</v>
      </c>
      <c r="BU2" s="5" t="b">
        <v>0</v>
      </c>
      <c r="BV2" s="5" t="b">
        <v>0</v>
      </c>
      <c r="BW2" s="5" t="b">
        <v>0</v>
      </c>
      <c r="BX2" s="5" t="b">
        <v>0</v>
      </c>
      <c r="BY2" s="5" t="b">
        <v>0</v>
      </c>
      <c r="BZ2" s="5" t="b">
        <v>0</v>
      </c>
      <c r="CA2" s="5" t="b">
        <v>1</v>
      </c>
      <c r="CB2" s="5" t="b">
        <v>1</v>
      </c>
      <c r="CC2" s="5" t="b">
        <v>0</v>
      </c>
      <c r="CD2" s="5" t="b">
        <v>0</v>
      </c>
      <c r="CE2" s="5" t="b">
        <v>0</v>
      </c>
      <c r="CF2" s="5" t="b">
        <v>0</v>
      </c>
      <c r="CG2" s="5" t="b">
        <v>0</v>
      </c>
      <c r="CH2" s="5" t="b">
        <v>0</v>
      </c>
      <c r="CI2" s="5" t="b">
        <v>0</v>
      </c>
      <c r="CJ2" s="5" t="b">
        <v>0</v>
      </c>
      <c r="CK2" s="5" t="b">
        <v>1</v>
      </c>
      <c r="CL2" s="5" t="b">
        <v>1</v>
      </c>
      <c r="CM2" s="5" t="b">
        <v>0</v>
      </c>
      <c r="CN2" s="5" t="b">
        <v>0</v>
      </c>
      <c r="CO2" s="5" t="b">
        <v>0</v>
      </c>
      <c r="CP2" s="5" t="b">
        <v>0</v>
      </c>
      <c r="CQ2" s="5" t="b">
        <v>0</v>
      </c>
      <c r="CR2" s="5" t="b">
        <v>1</v>
      </c>
      <c r="CS2" s="5" t="s">
        <v>254</v>
      </c>
      <c r="CT2" s="5" t="s">
        <v>31</v>
      </c>
      <c r="CU2" s="5" t="s">
        <v>126</v>
      </c>
      <c r="CV2" s="5" t="s">
        <v>64</v>
      </c>
      <c r="CW2" s="5" t="s">
        <v>68</v>
      </c>
      <c r="CX2" s="5" t="s">
        <v>73</v>
      </c>
      <c r="CY2" s="5">
        <v>13</v>
      </c>
      <c r="CZ2" s="5" t="s">
        <v>79</v>
      </c>
      <c r="DA2" s="5" t="s">
        <v>84</v>
      </c>
      <c r="DB2" s="5" t="s">
        <v>86</v>
      </c>
      <c r="DC2" s="5" t="s">
        <v>93</v>
      </c>
      <c r="DD2" s="5" t="b">
        <v>0</v>
      </c>
      <c r="DE2" s="5" t="b">
        <v>1</v>
      </c>
      <c r="DF2" s="5" t="b">
        <v>0</v>
      </c>
      <c r="DG2" s="5" t="b">
        <v>1</v>
      </c>
      <c r="DH2" s="5">
        <v>2</v>
      </c>
      <c r="DI2" s="5" t="s">
        <v>154</v>
      </c>
    </row>
    <row r="3" spans="1:114" x14ac:dyDescent="0.25">
      <c r="A3" s="5">
        <v>2</v>
      </c>
      <c r="B3" s="19">
        <v>45031</v>
      </c>
      <c r="C3" s="20">
        <v>0.51874999999999993</v>
      </c>
      <c r="D3" s="5" t="s">
        <v>1</v>
      </c>
      <c r="E3" s="5">
        <v>40</v>
      </c>
      <c r="F3" s="5" t="s">
        <v>5</v>
      </c>
      <c r="G3" s="5" t="s">
        <v>15</v>
      </c>
      <c r="H3" s="5" t="b">
        <v>1</v>
      </c>
      <c r="I3" s="5" t="b">
        <v>0</v>
      </c>
      <c r="J3" s="5" t="b">
        <v>0</v>
      </c>
      <c r="K3" s="5" t="b">
        <v>0</v>
      </c>
      <c r="L3" s="5" t="b">
        <v>0</v>
      </c>
      <c r="M3" s="5" t="b">
        <v>0</v>
      </c>
      <c r="N3" s="5" t="b">
        <v>0</v>
      </c>
      <c r="O3" s="5" t="b">
        <v>0</v>
      </c>
      <c r="P3" s="5" t="b">
        <v>0</v>
      </c>
      <c r="Q3" s="5" t="b">
        <v>1</v>
      </c>
      <c r="R3" s="5" t="b">
        <v>1</v>
      </c>
      <c r="S3" s="5" t="b">
        <v>0</v>
      </c>
      <c r="T3" s="5" t="b">
        <v>0</v>
      </c>
      <c r="U3" s="5" t="b">
        <v>0</v>
      </c>
      <c r="V3" s="5" t="b">
        <v>0</v>
      </c>
      <c r="W3" s="5" t="b">
        <v>0</v>
      </c>
      <c r="X3" s="5" t="b">
        <v>0</v>
      </c>
      <c r="Y3" s="5" t="b">
        <v>0</v>
      </c>
      <c r="Z3" s="5" t="b">
        <v>0</v>
      </c>
      <c r="AA3" s="5" t="b">
        <v>1</v>
      </c>
      <c r="AB3" s="5" t="b">
        <v>1</v>
      </c>
      <c r="AC3" s="5" t="b">
        <v>0</v>
      </c>
      <c r="AD3" s="5" t="b">
        <v>0</v>
      </c>
      <c r="AE3" s="5" t="b">
        <v>0</v>
      </c>
      <c r="AF3" s="5" t="b">
        <v>0</v>
      </c>
      <c r="AG3" s="5" t="b">
        <v>0</v>
      </c>
      <c r="AH3" s="5" t="b">
        <v>1</v>
      </c>
      <c r="AI3" s="5" t="s">
        <v>31</v>
      </c>
      <c r="AJ3" s="5" t="s">
        <v>245</v>
      </c>
      <c r="AK3" s="5" t="s">
        <v>246</v>
      </c>
      <c r="AL3" s="5" t="s">
        <v>128</v>
      </c>
      <c r="AM3" s="5" t="s">
        <v>64</v>
      </c>
      <c r="AN3" s="5" t="s">
        <v>77</v>
      </c>
      <c r="AO3" s="5" t="s">
        <v>73</v>
      </c>
      <c r="AP3" s="5">
        <v>11</v>
      </c>
      <c r="AQ3" s="5" t="s">
        <v>80</v>
      </c>
      <c r="AR3" s="5" t="s">
        <v>84</v>
      </c>
      <c r="AS3" s="5" t="s">
        <v>90</v>
      </c>
      <c r="AT3" s="5" t="s">
        <v>93</v>
      </c>
      <c r="AU3" s="5" t="b">
        <v>1</v>
      </c>
      <c r="AV3" s="5" t="b">
        <v>1</v>
      </c>
      <c r="AW3" s="5" t="b">
        <v>1</v>
      </c>
      <c r="AX3" s="5" t="b">
        <v>0</v>
      </c>
      <c r="AY3" s="5">
        <v>3</v>
      </c>
      <c r="AZ3" s="5" t="s">
        <v>95</v>
      </c>
      <c r="BA3" s="5" t="s">
        <v>247</v>
      </c>
      <c r="BB3" s="5" t="s">
        <v>101</v>
      </c>
      <c r="BC3" s="5" t="s">
        <v>247</v>
      </c>
      <c r="BD3" s="5" t="s">
        <v>105</v>
      </c>
      <c r="BE3" s="5" t="s">
        <v>108</v>
      </c>
      <c r="BF3" s="5" t="s">
        <v>107</v>
      </c>
      <c r="BG3" s="5" t="s">
        <v>123</v>
      </c>
      <c r="BH3" s="5" t="b">
        <v>1</v>
      </c>
      <c r="BI3" s="5" t="b">
        <v>1</v>
      </c>
      <c r="BJ3" s="5" t="b">
        <v>1</v>
      </c>
      <c r="BK3" s="5" t="b">
        <v>0</v>
      </c>
      <c r="BL3" s="5" t="b">
        <v>1</v>
      </c>
      <c r="BM3" s="5">
        <v>600</v>
      </c>
      <c r="BN3" s="5">
        <v>24352</v>
      </c>
      <c r="BO3" s="5">
        <v>2345</v>
      </c>
      <c r="BP3" s="5" t="s">
        <v>252</v>
      </c>
      <c r="BQ3" s="5" t="s">
        <v>253</v>
      </c>
      <c r="BR3" s="5" t="b">
        <v>1</v>
      </c>
      <c r="BS3" s="5" t="b">
        <v>0</v>
      </c>
      <c r="BT3" s="5" t="b">
        <v>0</v>
      </c>
      <c r="BU3" s="5" t="b">
        <v>0</v>
      </c>
      <c r="BV3" s="5" t="b">
        <v>0</v>
      </c>
      <c r="BW3" s="5" t="b">
        <v>0</v>
      </c>
      <c r="BX3" s="5" t="b">
        <v>0</v>
      </c>
      <c r="BY3" s="5" t="b">
        <v>0</v>
      </c>
      <c r="BZ3" s="5" t="b">
        <v>0</v>
      </c>
      <c r="CA3" s="5" t="b">
        <v>1</v>
      </c>
      <c r="CB3" s="5" t="b">
        <v>1</v>
      </c>
      <c r="CC3" s="5" t="b">
        <v>0</v>
      </c>
      <c r="CD3" s="5" t="b">
        <v>0</v>
      </c>
      <c r="CE3" s="5" t="b">
        <v>0</v>
      </c>
      <c r="CF3" s="5" t="b">
        <v>0</v>
      </c>
      <c r="CG3" s="5" t="b">
        <v>0</v>
      </c>
      <c r="CH3" s="5" t="b">
        <v>0</v>
      </c>
      <c r="CI3" s="5" t="b">
        <v>0</v>
      </c>
      <c r="CJ3" s="5" t="b">
        <v>0</v>
      </c>
      <c r="CK3" s="5" t="b">
        <v>1</v>
      </c>
      <c r="CL3" s="5" t="b">
        <v>1</v>
      </c>
      <c r="CM3" s="5" t="b">
        <v>0</v>
      </c>
      <c r="CN3" s="5" t="b">
        <v>0</v>
      </c>
      <c r="CO3" s="5" t="b">
        <v>0</v>
      </c>
      <c r="CP3" s="5" t="b">
        <v>0</v>
      </c>
      <c r="CQ3" s="5" t="b">
        <v>0</v>
      </c>
      <c r="CR3" s="5" t="b">
        <v>1</v>
      </c>
      <c r="CS3" s="5" t="s">
        <v>254</v>
      </c>
      <c r="CT3" s="5" t="s">
        <v>31</v>
      </c>
      <c r="CU3" s="5" t="s">
        <v>126</v>
      </c>
      <c r="CV3" s="5" t="s">
        <v>64</v>
      </c>
      <c r="CW3" s="5" t="s">
        <v>68</v>
      </c>
      <c r="CX3" s="5" t="s">
        <v>73</v>
      </c>
      <c r="CY3" s="5">
        <v>13</v>
      </c>
      <c r="CZ3" s="5" t="s">
        <v>79</v>
      </c>
      <c r="DA3" s="5" t="s">
        <v>84</v>
      </c>
      <c r="DB3" s="5" t="s">
        <v>86</v>
      </c>
      <c r="DC3" s="5" t="s">
        <v>93</v>
      </c>
      <c r="DD3" s="5" t="b">
        <v>0</v>
      </c>
      <c r="DE3" s="5" t="b">
        <v>1</v>
      </c>
      <c r="DF3" s="5" t="b">
        <v>0</v>
      </c>
      <c r="DG3" s="5" t="b">
        <v>1</v>
      </c>
      <c r="DH3" s="5">
        <v>2</v>
      </c>
      <c r="DI3" s="5" t="s">
        <v>154</v>
      </c>
    </row>
    <row r="4" spans="1:114" x14ac:dyDescent="0.25">
      <c r="A4" s="5">
        <v>3</v>
      </c>
      <c r="B4" s="19">
        <v>45031</v>
      </c>
      <c r="C4" s="20">
        <v>0.51874999999999993</v>
      </c>
      <c r="D4" s="5" t="s">
        <v>1</v>
      </c>
      <c r="E4" s="5">
        <v>40</v>
      </c>
      <c r="F4" s="5" t="s">
        <v>5</v>
      </c>
      <c r="G4" s="5" t="s">
        <v>15</v>
      </c>
      <c r="H4" s="5" t="b">
        <v>1</v>
      </c>
      <c r="I4" s="5" t="b">
        <v>0</v>
      </c>
      <c r="J4" s="5" t="b">
        <v>0</v>
      </c>
      <c r="K4" s="5" t="b">
        <v>0</v>
      </c>
      <c r="L4" s="5" t="b">
        <v>0</v>
      </c>
      <c r="M4" s="5" t="b">
        <v>0</v>
      </c>
      <c r="N4" s="5" t="b">
        <v>0</v>
      </c>
      <c r="O4" s="5" t="b">
        <v>0</v>
      </c>
      <c r="P4" s="5" t="b">
        <v>0</v>
      </c>
      <c r="Q4" s="5" t="b">
        <v>1</v>
      </c>
      <c r="R4" s="5" t="b">
        <v>1</v>
      </c>
      <c r="S4" s="5" t="b">
        <v>0</v>
      </c>
      <c r="T4" s="5" t="b">
        <v>0</v>
      </c>
      <c r="U4" s="5" t="b">
        <v>0</v>
      </c>
      <c r="V4" s="5" t="b">
        <v>0</v>
      </c>
      <c r="W4" s="5" t="b">
        <v>0</v>
      </c>
      <c r="X4" s="5" t="b">
        <v>0</v>
      </c>
      <c r="Y4" s="5" t="b">
        <v>0</v>
      </c>
      <c r="Z4" s="5" t="b">
        <v>0</v>
      </c>
      <c r="AA4" s="5" t="b">
        <v>1</v>
      </c>
      <c r="AB4" s="5" t="b">
        <v>1</v>
      </c>
      <c r="AC4" s="5" t="b">
        <v>0</v>
      </c>
      <c r="AD4" s="5" t="b">
        <v>0</v>
      </c>
      <c r="AE4" s="5" t="b">
        <v>0</v>
      </c>
      <c r="AF4" s="5" t="b">
        <v>0</v>
      </c>
      <c r="AG4" s="5" t="b">
        <v>0</v>
      </c>
      <c r="AH4" s="5" t="b">
        <v>1</v>
      </c>
      <c r="AI4" s="5" t="s">
        <v>31</v>
      </c>
      <c r="AJ4" s="5" t="s">
        <v>245</v>
      </c>
      <c r="AK4" s="5" t="s">
        <v>246</v>
      </c>
      <c r="AL4" s="5" t="s">
        <v>128</v>
      </c>
      <c r="AM4" s="5" t="s">
        <v>64</v>
      </c>
      <c r="AN4" s="5" t="s">
        <v>77</v>
      </c>
      <c r="AO4" s="5" t="s">
        <v>73</v>
      </c>
      <c r="AP4" s="5">
        <v>11</v>
      </c>
      <c r="AQ4" s="5" t="s">
        <v>80</v>
      </c>
      <c r="AR4" s="5" t="s">
        <v>84</v>
      </c>
      <c r="AS4" s="5" t="s">
        <v>90</v>
      </c>
      <c r="AT4" s="5" t="s">
        <v>93</v>
      </c>
      <c r="AU4" s="5" t="b">
        <v>1</v>
      </c>
      <c r="AV4" s="5" t="b">
        <v>1</v>
      </c>
      <c r="AW4" s="5" t="b">
        <v>1</v>
      </c>
      <c r="AX4" s="5" t="b">
        <v>0</v>
      </c>
      <c r="AY4" s="5">
        <v>3</v>
      </c>
      <c r="AZ4" s="5" t="s">
        <v>95</v>
      </c>
      <c r="BA4" s="5" t="s">
        <v>247</v>
      </c>
      <c r="BB4" s="5" t="s">
        <v>101</v>
      </c>
      <c r="BC4" s="5" t="s">
        <v>247</v>
      </c>
      <c r="BD4" s="5" t="s">
        <v>105</v>
      </c>
      <c r="BE4" s="5" t="s">
        <v>108</v>
      </c>
      <c r="BF4" s="5" t="s">
        <v>107</v>
      </c>
      <c r="BG4" s="5" t="s">
        <v>123</v>
      </c>
      <c r="BH4" s="5" t="b">
        <v>1</v>
      </c>
      <c r="BI4" s="5" t="b">
        <v>1</v>
      </c>
      <c r="BJ4" s="5" t="b">
        <v>1</v>
      </c>
      <c r="BK4" s="5" t="b">
        <v>0</v>
      </c>
      <c r="BL4" s="5" t="b">
        <v>1</v>
      </c>
      <c r="BM4" s="5">
        <v>600</v>
      </c>
      <c r="BN4" s="5">
        <v>24352</v>
      </c>
      <c r="BO4" s="5">
        <v>2345</v>
      </c>
      <c r="BP4" s="5" t="s">
        <v>252</v>
      </c>
      <c r="BQ4" s="5" t="s">
        <v>253</v>
      </c>
      <c r="BR4" s="5" t="b">
        <v>1</v>
      </c>
      <c r="BS4" s="5" t="b">
        <v>0</v>
      </c>
      <c r="BT4" s="5" t="b">
        <v>0</v>
      </c>
      <c r="BU4" s="5" t="b">
        <v>0</v>
      </c>
      <c r="BV4" s="5" t="b">
        <v>0</v>
      </c>
      <c r="BW4" s="5" t="b">
        <v>0</v>
      </c>
      <c r="BX4" s="5" t="b">
        <v>0</v>
      </c>
      <c r="BY4" s="5" t="b">
        <v>0</v>
      </c>
      <c r="BZ4" s="5" t="b">
        <v>0</v>
      </c>
      <c r="CA4" s="5" t="b">
        <v>1</v>
      </c>
      <c r="CB4" s="5" t="b">
        <v>1</v>
      </c>
      <c r="CC4" s="5" t="b">
        <v>0</v>
      </c>
      <c r="CD4" s="5" t="b">
        <v>0</v>
      </c>
      <c r="CE4" s="5" t="b">
        <v>0</v>
      </c>
      <c r="CF4" s="5" t="b">
        <v>0</v>
      </c>
      <c r="CG4" s="5" t="b">
        <v>0</v>
      </c>
      <c r="CH4" s="5" t="b">
        <v>0</v>
      </c>
      <c r="CI4" s="5" t="b">
        <v>0</v>
      </c>
      <c r="CJ4" s="5" t="b">
        <v>0</v>
      </c>
      <c r="CK4" s="5" t="b">
        <v>1</v>
      </c>
      <c r="CL4" s="5" t="b">
        <v>1</v>
      </c>
      <c r="CM4" s="5" t="b">
        <v>0</v>
      </c>
      <c r="CN4" s="5" t="b">
        <v>0</v>
      </c>
      <c r="CO4" s="5" t="b">
        <v>0</v>
      </c>
      <c r="CP4" s="5" t="b">
        <v>0</v>
      </c>
      <c r="CQ4" s="5" t="b">
        <v>0</v>
      </c>
      <c r="CR4" s="5" t="b">
        <v>1</v>
      </c>
      <c r="CS4" s="5" t="s">
        <v>254</v>
      </c>
      <c r="CT4" s="5" t="s">
        <v>31</v>
      </c>
      <c r="CU4" s="5" t="s">
        <v>126</v>
      </c>
      <c r="CV4" s="5" t="s">
        <v>64</v>
      </c>
      <c r="CW4" s="5" t="s">
        <v>68</v>
      </c>
      <c r="CX4" s="5" t="s">
        <v>73</v>
      </c>
      <c r="CY4" s="5">
        <v>13</v>
      </c>
      <c r="CZ4" s="5" t="s">
        <v>79</v>
      </c>
      <c r="DA4" s="5" t="s">
        <v>84</v>
      </c>
      <c r="DB4" s="5" t="s">
        <v>86</v>
      </c>
      <c r="DC4" s="5" t="s">
        <v>93</v>
      </c>
      <c r="DD4" s="5" t="b">
        <v>0</v>
      </c>
      <c r="DE4" s="5" t="b">
        <v>1</v>
      </c>
      <c r="DF4" s="5" t="b">
        <v>0</v>
      </c>
      <c r="DG4" s="5" t="b">
        <v>1</v>
      </c>
      <c r="DH4" s="5">
        <v>2</v>
      </c>
      <c r="DI4" s="5" t="s">
        <v>154</v>
      </c>
    </row>
    <row r="5" spans="1:114" x14ac:dyDescent="0.25">
      <c r="A5" s="5">
        <v>4</v>
      </c>
      <c r="B5" s="19">
        <v>45031</v>
      </c>
      <c r="C5" s="20">
        <v>0.51874999999999993</v>
      </c>
      <c r="D5" s="5" t="s">
        <v>1</v>
      </c>
      <c r="E5" s="5">
        <v>40</v>
      </c>
      <c r="F5" s="5" t="s">
        <v>5</v>
      </c>
      <c r="G5" s="5" t="s">
        <v>15</v>
      </c>
      <c r="H5" s="5" t="b">
        <v>1</v>
      </c>
      <c r="I5" s="5" t="b">
        <v>0</v>
      </c>
      <c r="J5" s="5" t="b">
        <v>0</v>
      </c>
      <c r="K5" s="5" t="b">
        <v>0</v>
      </c>
      <c r="L5" s="5" t="b">
        <v>0</v>
      </c>
      <c r="M5" s="5" t="b">
        <v>0</v>
      </c>
      <c r="N5" s="5" t="b">
        <v>0</v>
      </c>
      <c r="O5" s="5" t="b">
        <v>0</v>
      </c>
      <c r="P5" s="5" t="b">
        <v>0</v>
      </c>
      <c r="Q5" s="5" t="b">
        <v>1</v>
      </c>
      <c r="R5" s="5" t="b">
        <v>1</v>
      </c>
      <c r="S5" s="5" t="b">
        <v>0</v>
      </c>
      <c r="T5" s="5" t="b">
        <v>0</v>
      </c>
      <c r="U5" s="5" t="b">
        <v>0</v>
      </c>
      <c r="V5" s="5" t="b">
        <v>0</v>
      </c>
      <c r="W5" s="5" t="b">
        <v>0</v>
      </c>
      <c r="X5" s="5" t="b">
        <v>0</v>
      </c>
      <c r="Y5" s="5" t="b">
        <v>0</v>
      </c>
      <c r="Z5" s="5" t="b">
        <v>0</v>
      </c>
      <c r="AA5" s="5" t="b">
        <v>1</v>
      </c>
      <c r="AB5" s="5" t="b">
        <v>1</v>
      </c>
      <c r="AC5" s="5" t="b">
        <v>0</v>
      </c>
      <c r="AD5" s="5" t="b">
        <v>0</v>
      </c>
      <c r="AE5" s="5" t="b">
        <v>0</v>
      </c>
      <c r="AF5" s="5" t="b">
        <v>0</v>
      </c>
      <c r="AG5" s="5" t="b">
        <v>0</v>
      </c>
      <c r="AH5" s="5" t="b">
        <v>1</v>
      </c>
      <c r="AI5" s="5" t="s">
        <v>31</v>
      </c>
      <c r="AJ5" s="5" t="s">
        <v>245</v>
      </c>
      <c r="AK5" s="5" t="s">
        <v>246</v>
      </c>
      <c r="AL5" s="5" t="s">
        <v>128</v>
      </c>
      <c r="AM5" s="5" t="s">
        <v>64</v>
      </c>
      <c r="AN5" s="5" t="s">
        <v>77</v>
      </c>
      <c r="AO5" s="5" t="s">
        <v>73</v>
      </c>
      <c r="AP5" s="5">
        <v>11</v>
      </c>
      <c r="AQ5" s="5" t="s">
        <v>80</v>
      </c>
      <c r="AR5" s="5" t="s">
        <v>84</v>
      </c>
      <c r="AS5" s="5" t="s">
        <v>90</v>
      </c>
      <c r="AT5" s="5" t="s">
        <v>93</v>
      </c>
      <c r="AU5" s="5" t="b">
        <v>1</v>
      </c>
      <c r="AV5" s="5" t="b">
        <v>1</v>
      </c>
      <c r="AW5" s="5" t="b">
        <v>1</v>
      </c>
      <c r="AX5" s="5" t="b">
        <v>0</v>
      </c>
      <c r="AY5" s="5">
        <v>3</v>
      </c>
      <c r="AZ5" s="5" t="s">
        <v>95</v>
      </c>
      <c r="BA5" s="5" t="s">
        <v>247</v>
      </c>
      <c r="BB5" s="5" t="s">
        <v>101</v>
      </c>
      <c r="BC5" s="5" t="s">
        <v>247</v>
      </c>
      <c r="BD5" s="5" t="s">
        <v>105</v>
      </c>
      <c r="BE5" s="5" t="s">
        <v>108</v>
      </c>
      <c r="BF5" s="5" t="s">
        <v>107</v>
      </c>
      <c r="BG5" s="5" t="s">
        <v>123</v>
      </c>
      <c r="BH5" s="5" t="b">
        <v>1</v>
      </c>
      <c r="BI5" s="5" t="b">
        <v>1</v>
      </c>
      <c r="BJ5" s="5" t="b">
        <v>1</v>
      </c>
      <c r="BK5" s="5" t="b">
        <v>0</v>
      </c>
      <c r="BL5" s="5" t="b">
        <v>1</v>
      </c>
      <c r="BM5" s="5">
        <v>600</v>
      </c>
      <c r="BN5" s="5">
        <v>24352</v>
      </c>
      <c r="BO5" s="5">
        <v>2345</v>
      </c>
      <c r="BP5" s="5" t="s">
        <v>252</v>
      </c>
      <c r="BQ5" s="5" t="s">
        <v>253</v>
      </c>
      <c r="BR5" s="5" t="b">
        <v>1</v>
      </c>
      <c r="BS5" s="5" t="b">
        <v>0</v>
      </c>
      <c r="BT5" s="5" t="b">
        <v>0</v>
      </c>
      <c r="BU5" s="5" t="b">
        <v>0</v>
      </c>
      <c r="BV5" s="5" t="b">
        <v>0</v>
      </c>
      <c r="BW5" s="5" t="b">
        <v>0</v>
      </c>
      <c r="BX5" s="5" t="b">
        <v>0</v>
      </c>
      <c r="BY5" s="5" t="b">
        <v>0</v>
      </c>
      <c r="BZ5" s="5" t="b">
        <v>0</v>
      </c>
      <c r="CA5" s="5" t="b">
        <v>1</v>
      </c>
      <c r="CB5" s="5" t="b">
        <v>1</v>
      </c>
      <c r="CC5" s="5" t="b">
        <v>0</v>
      </c>
      <c r="CD5" s="5" t="b">
        <v>0</v>
      </c>
      <c r="CE5" s="5" t="b">
        <v>0</v>
      </c>
      <c r="CF5" s="5" t="b">
        <v>0</v>
      </c>
      <c r="CG5" s="5" t="b">
        <v>0</v>
      </c>
      <c r="CH5" s="5" t="b">
        <v>0</v>
      </c>
      <c r="CI5" s="5" t="b">
        <v>0</v>
      </c>
      <c r="CJ5" s="5" t="b">
        <v>0</v>
      </c>
      <c r="CK5" s="5" t="b">
        <v>1</v>
      </c>
      <c r="CL5" s="5" t="b">
        <v>1</v>
      </c>
      <c r="CM5" s="5" t="b">
        <v>0</v>
      </c>
      <c r="CN5" s="5" t="b">
        <v>0</v>
      </c>
      <c r="CO5" s="5" t="b">
        <v>0</v>
      </c>
      <c r="CP5" s="5" t="b">
        <v>0</v>
      </c>
      <c r="CQ5" s="5" t="b">
        <v>0</v>
      </c>
      <c r="CR5" s="5" t="b">
        <v>1</v>
      </c>
      <c r="CS5" s="5" t="s">
        <v>254</v>
      </c>
      <c r="CT5" s="5" t="s">
        <v>31</v>
      </c>
      <c r="CU5" s="5" t="s">
        <v>126</v>
      </c>
      <c r="CV5" s="5" t="s">
        <v>64</v>
      </c>
      <c r="CW5" s="5" t="s">
        <v>68</v>
      </c>
      <c r="CX5" s="5" t="s">
        <v>73</v>
      </c>
      <c r="CY5" s="5">
        <v>13</v>
      </c>
      <c r="CZ5" s="5" t="s">
        <v>79</v>
      </c>
      <c r="DA5" s="5" t="s">
        <v>84</v>
      </c>
      <c r="DB5" s="5" t="s">
        <v>86</v>
      </c>
      <c r="DC5" s="5" t="s">
        <v>93</v>
      </c>
      <c r="DD5" s="5" t="b">
        <v>0</v>
      </c>
      <c r="DE5" s="5" t="b">
        <v>1</v>
      </c>
      <c r="DF5" s="5" t="b">
        <v>0</v>
      </c>
      <c r="DG5" s="5" t="b">
        <v>1</v>
      </c>
      <c r="DH5" s="5">
        <v>2</v>
      </c>
      <c r="DI5" s="5" t="s">
        <v>154</v>
      </c>
    </row>
    <row r="6" spans="1:114" x14ac:dyDescent="0.25">
      <c r="A6" s="5">
        <v>5</v>
      </c>
      <c r="B6" s="19">
        <v>45031</v>
      </c>
      <c r="C6" s="20">
        <v>0.51874999999999993</v>
      </c>
      <c r="D6" s="5" t="s">
        <v>1</v>
      </c>
      <c r="E6" s="5">
        <v>40</v>
      </c>
      <c r="F6" s="5" t="s">
        <v>5</v>
      </c>
      <c r="G6" s="5" t="s">
        <v>15</v>
      </c>
      <c r="H6" s="5" t="b">
        <v>1</v>
      </c>
      <c r="I6" s="5" t="b">
        <v>0</v>
      </c>
      <c r="J6" s="5" t="b">
        <v>0</v>
      </c>
      <c r="K6" s="5" t="b">
        <v>0</v>
      </c>
      <c r="L6" s="5" t="b">
        <v>0</v>
      </c>
      <c r="M6" s="5" t="b">
        <v>0</v>
      </c>
      <c r="N6" s="5" t="b">
        <v>0</v>
      </c>
      <c r="O6" s="5" t="b">
        <v>0</v>
      </c>
      <c r="P6" s="5" t="b">
        <v>0</v>
      </c>
      <c r="Q6" s="5" t="b">
        <v>1</v>
      </c>
      <c r="R6" s="5" t="b">
        <v>1</v>
      </c>
      <c r="S6" s="5" t="b">
        <v>0</v>
      </c>
      <c r="T6" s="5" t="b">
        <v>0</v>
      </c>
      <c r="U6" s="5" t="b">
        <v>0</v>
      </c>
      <c r="V6" s="5" t="b">
        <v>0</v>
      </c>
      <c r="W6" s="5" t="b">
        <v>0</v>
      </c>
      <c r="X6" s="5" t="b">
        <v>0</v>
      </c>
      <c r="Y6" s="5" t="b">
        <v>0</v>
      </c>
      <c r="Z6" s="5" t="b">
        <v>0</v>
      </c>
      <c r="AA6" s="5" t="b">
        <v>1</v>
      </c>
      <c r="AB6" s="5" t="b">
        <v>1</v>
      </c>
      <c r="AC6" s="5" t="b">
        <v>0</v>
      </c>
      <c r="AD6" s="5" t="b">
        <v>0</v>
      </c>
      <c r="AE6" s="5" t="b">
        <v>0</v>
      </c>
      <c r="AF6" s="5" t="b">
        <v>0</v>
      </c>
      <c r="AG6" s="5" t="b">
        <v>0</v>
      </c>
      <c r="AH6" s="5" t="b">
        <v>1</v>
      </c>
      <c r="AI6" s="5" t="s">
        <v>31</v>
      </c>
      <c r="AJ6" s="5" t="s">
        <v>245</v>
      </c>
      <c r="AK6" s="5" t="s">
        <v>246</v>
      </c>
      <c r="AL6" s="5" t="s">
        <v>128</v>
      </c>
      <c r="AM6" s="5" t="s">
        <v>64</v>
      </c>
      <c r="AN6" s="5" t="s">
        <v>77</v>
      </c>
      <c r="AO6" s="5" t="s">
        <v>73</v>
      </c>
      <c r="AP6" s="5">
        <v>11</v>
      </c>
      <c r="AQ6" s="5" t="s">
        <v>80</v>
      </c>
      <c r="AR6" s="5" t="s">
        <v>84</v>
      </c>
      <c r="AS6" s="5" t="s">
        <v>90</v>
      </c>
      <c r="AT6" s="5" t="s">
        <v>93</v>
      </c>
      <c r="AU6" s="5" t="b">
        <v>1</v>
      </c>
      <c r="AV6" s="5" t="b">
        <v>1</v>
      </c>
      <c r="AW6" s="5" t="b">
        <v>1</v>
      </c>
      <c r="AX6" s="5" t="b">
        <v>0</v>
      </c>
      <c r="AY6" s="5">
        <v>3</v>
      </c>
      <c r="AZ6" s="5" t="s">
        <v>95</v>
      </c>
      <c r="BA6" s="5" t="s">
        <v>247</v>
      </c>
      <c r="BB6" s="5" t="s">
        <v>101</v>
      </c>
      <c r="BC6" s="5" t="s">
        <v>247</v>
      </c>
      <c r="BD6" s="5" t="s">
        <v>105</v>
      </c>
      <c r="BE6" s="5" t="s">
        <v>108</v>
      </c>
      <c r="BF6" s="5" t="s">
        <v>107</v>
      </c>
      <c r="BG6" s="5" t="s">
        <v>123</v>
      </c>
      <c r="BH6" s="5" t="b">
        <v>1</v>
      </c>
      <c r="BI6" s="5" t="b">
        <v>1</v>
      </c>
      <c r="BJ6" s="5" t="b">
        <v>1</v>
      </c>
      <c r="BK6" s="5" t="b">
        <v>0</v>
      </c>
      <c r="BL6" s="5" t="b">
        <v>1</v>
      </c>
      <c r="BM6" s="5">
        <v>600</v>
      </c>
      <c r="BN6" s="5">
        <v>24352</v>
      </c>
      <c r="BO6" s="5">
        <v>2345</v>
      </c>
      <c r="BP6" s="5" t="s">
        <v>252</v>
      </c>
      <c r="BQ6" s="5" t="s">
        <v>253</v>
      </c>
      <c r="BR6" s="5" t="b">
        <v>1</v>
      </c>
      <c r="BS6" s="5" t="b">
        <v>0</v>
      </c>
      <c r="BT6" s="5" t="b">
        <v>0</v>
      </c>
      <c r="BU6" s="5" t="b">
        <v>0</v>
      </c>
      <c r="BV6" s="5" t="b">
        <v>0</v>
      </c>
      <c r="BW6" s="5" t="b">
        <v>0</v>
      </c>
      <c r="BX6" s="5" t="b">
        <v>0</v>
      </c>
      <c r="BY6" s="5" t="b">
        <v>0</v>
      </c>
      <c r="BZ6" s="5" t="b">
        <v>0</v>
      </c>
      <c r="CA6" s="5" t="b">
        <v>1</v>
      </c>
      <c r="CB6" s="5" t="b">
        <v>1</v>
      </c>
      <c r="CC6" s="5" t="b">
        <v>0</v>
      </c>
      <c r="CD6" s="5" t="b">
        <v>0</v>
      </c>
      <c r="CE6" s="5" t="b">
        <v>0</v>
      </c>
      <c r="CF6" s="5" t="b">
        <v>0</v>
      </c>
      <c r="CG6" s="5" t="b">
        <v>0</v>
      </c>
      <c r="CH6" s="5" t="b">
        <v>0</v>
      </c>
      <c r="CI6" s="5" t="b">
        <v>0</v>
      </c>
      <c r="CJ6" s="5" t="b">
        <v>0</v>
      </c>
      <c r="CK6" s="5" t="b">
        <v>1</v>
      </c>
      <c r="CL6" s="5" t="b">
        <v>1</v>
      </c>
      <c r="CM6" s="5" t="b">
        <v>0</v>
      </c>
      <c r="CN6" s="5" t="b">
        <v>0</v>
      </c>
      <c r="CO6" s="5" t="b">
        <v>0</v>
      </c>
      <c r="CP6" s="5" t="b">
        <v>0</v>
      </c>
      <c r="CQ6" s="5" t="b">
        <v>0</v>
      </c>
      <c r="CR6" s="5" t="b">
        <v>1</v>
      </c>
      <c r="CS6" s="5" t="s">
        <v>254</v>
      </c>
      <c r="CT6" s="5" t="s">
        <v>31</v>
      </c>
      <c r="CU6" s="5" t="s">
        <v>126</v>
      </c>
      <c r="CV6" s="5" t="s">
        <v>64</v>
      </c>
      <c r="CW6" s="5" t="s">
        <v>68</v>
      </c>
      <c r="CX6" s="5" t="s">
        <v>73</v>
      </c>
      <c r="CY6" s="5">
        <v>13</v>
      </c>
      <c r="CZ6" s="5" t="s">
        <v>79</v>
      </c>
      <c r="DA6" s="5" t="s">
        <v>84</v>
      </c>
      <c r="DB6" s="5" t="s">
        <v>86</v>
      </c>
      <c r="DC6" s="5" t="s">
        <v>93</v>
      </c>
      <c r="DD6" s="5" t="b">
        <v>0</v>
      </c>
      <c r="DE6" s="5" t="b">
        <v>1</v>
      </c>
      <c r="DF6" s="5" t="b">
        <v>0</v>
      </c>
      <c r="DG6" s="5" t="b">
        <v>1</v>
      </c>
      <c r="DH6" s="5">
        <v>2</v>
      </c>
      <c r="DI6" s="5" t="s">
        <v>154</v>
      </c>
    </row>
    <row r="7" spans="1:114" x14ac:dyDescent="0.25">
      <c r="A7" s="5">
        <v>6</v>
      </c>
      <c r="B7" s="19">
        <v>45031</v>
      </c>
      <c r="C7" s="20">
        <v>0.51874999999999993</v>
      </c>
      <c r="D7" s="5" t="s">
        <v>1</v>
      </c>
      <c r="E7" s="5">
        <v>40</v>
      </c>
      <c r="F7" s="5" t="s">
        <v>5</v>
      </c>
      <c r="G7" s="5" t="s">
        <v>15</v>
      </c>
      <c r="H7" s="5" t="b">
        <v>1</v>
      </c>
      <c r="I7" s="5" t="b">
        <v>0</v>
      </c>
      <c r="J7" s="5" t="b">
        <v>0</v>
      </c>
      <c r="K7" s="5" t="b">
        <v>0</v>
      </c>
      <c r="L7" s="5" t="b">
        <v>0</v>
      </c>
      <c r="M7" s="5" t="b">
        <v>0</v>
      </c>
      <c r="N7" s="5" t="b">
        <v>0</v>
      </c>
      <c r="O7" s="5" t="b">
        <v>0</v>
      </c>
      <c r="P7" s="5" t="b">
        <v>0</v>
      </c>
      <c r="Q7" s="5" t="b">
        <v>1</v>
      </c>
      <c r="R7" s="5" t="b">
        <v>1</v>
      </c>
      <c r="S7" s="5" t="b">
        <v>0</v>
      </c>
      <c r="T7" s="5" t="b">
        <v>0</v>
      </c>
      <c r="U7" s="5" t="b">
        <v>0</v>
      </c>
      <c r="V7" s="5" t="b">
        <v>0</v>
      </c>
      <c r="W7" s="5" t="b">
        <v>0</v>
      </c>
      <c r="X7" s="5" t="b">
        <v>0</v>
      </c>
      <c r="Y7" s="5" t="b">
        <v>0</v>
      </c>
      <c r="Z7" s="5" t="b">
        <v>0</v>
      </c>
      <c r="AA7" s="5" t="b">
        <v>1</v>
      </c>
      <c r="AB7" s="5" t="b">
        <v>1</v>
      </c>
      <c r="AC7" s="5" t="b">
        <v>0</v>
      </c>
      <c r="AD7" s="5" t="b">
        <v>0</v>
      </c>
      <c r="AE7" s="5" t="b">
        <v>0</v>
      </c>
      <c r="AF7" s="5" t="b">
        <v>0</v>
      </c>
      <c r="AG7" s="5" t="b">
        <v>0</v>
      </c>
      <c r="AH7" s="5" t="b">
        <v>1</v>
      </c>
      <c r="AI7" s="5" t="s">
        <v>31</v>
      </c>
      <c r="AJ7" s="5" t="s">
        <v>245</v>
      </c>
      <c r="AK7" s="5" t="s">
        <v>246</v>
      </c>
      <c r="AL7" s="5" t="s">
        <v>128</v>
      </c>
      <c r="AM7" s="5" t="s">
        <v>64</v>
      </c>
      <c r="AN7" s="5" t="s">
        <v>77</v>
      </c>
      <c r="AO7" s="5" t="s">
        <v>73</v>
      </c>
      <c r="AP7" s="5">
        <v>11</v>
      </c>
      <c r="AQ7" s="5" t="s">
        <v>80</v>
      </c>
      <c r="AR7" s="5" t="s">
        <v>84</v>
      </c>
      <c r="AS7" s="5" t="s">
        <v>90</v>
      </c>
      <c r="AT7" s="5" t="s">
        <v>93</v>
      </c>
      <c r="AU7" s="5" t="b">
        <v>1</v>
      </c>
      <c r="AV7" s="5" t="b">
        <v>1</v>
      </c>
      <c r="AW7" s="5" t="b">
        <v>1</v>
      </c>
      <c r="AX7" s="5" t="b">
        <v>0</v>
      </c>
      <c r="AY7" s="5">
        <v>3</v>
      </c>
      <c r="AZ7" s="5" t="s">
        <v>95</v>
      </c>
      <c r="BA7" s="5" t="s">
        <v>247</v>
      </c>
      <c r="BB7" s="5" t="s">
        <v>101</v>
      </c>
      <c r="BC7" s="5" t="s">
        <v>247</v>
      </c>
      <c r="BD7" s="5" t="s">
        <v>105</v>
      </c>
      <c r="BE7" s="5" t="s">
        <v>108</v>
      </c>
      <c r="BF7" s="5" t="s">
        <v>107</v>
      </c>
      <c r="BG7" s="5" t="s">
        <v>123</v>
      </c>
      <c r="BH7" s="5" t="b">
        <v>1</v>
      </c>
      <c r="BI7" s="5" t="b">
        <v>1</v>
      </c>
      <c r="BJ7" s="5" t="b">
        <v>1</v>
      </c>
      <c r="BK7" s="5" t="b">
        <v>0</v>
      </c>
      <c r="BL7" s="5" t="b">
        <v>1</v>
      </c>
      <c r="BM7" s="5">
        <v>600</v>
      </c>
      <c r="BN7" s="5">
        <v>24352</v>
      </c>
      <c r="BO7" s="5">
        <v>2345</v>
      </c>
      <c r="BP7" s="5" t="s">
        <v>252</v>
      </c>
      <c r="BQ7" s="5" t="s">
        <v>253</v>
      </c>
      <c r="BR7" s="5" t="b">
        <v>1</v>
      </c>
      <c r="BS7" s="5" t="b">
        <v>0</v>
      </c>
      <c r="BT7" s="5" t="b">
        <v>0</v>
      </c>
      <c r="BU7" s="5" t="b">
        <v>0</v>
      </c>
      <c r="BV7" s="5" t="b">
        <v>0</v>
      </c>
      <c r="BW7" s="5" t="b">
        <v>0</v>
      </c>
      <c r="BX7" s="5" t="b">
        <v>0</v>
      </c>
      <c r="BY7" s="5" t="b">
        <v>0</v>
      </c>
      <c r="BZ7" s="5" t="b">
        <v>0</v>
      </c>
      <c r="CA7" s="5" t="b">
        <v>1</v>
      </c>
      <c r="CB7" s="5" t="b">
        <v>1</v>
      </c>
      <c r="CC7" s="5" t="b">
        <v>0</v>
      </c>
      <c r="CD7" s="5" t="b">
        <v>0</v>
      </c>
      <c r="CE7" s="5" t="b">
        <v>0</v>
      </c>
      <c r="CF7" s="5" t="b">
        <v>0</v>
      </c>
      <c r="CG7" s="5" t="b">
        <v>0</v>
      </c>
      <c r="CH7" s="5" t="b">
        <v>0</v>
      </c>
      <c r="CI7" s="5" t="b">
        <v>0</v>
      </c>
      <c r="CJ7" s="5" t="b">
        <v>0</v>
      </c>
      <c r="CK7" s="5" t="b">
        <v>1</v>
      </c>
      <c r="CL7" s="5" t="b">
        <v>1</v>
      </c>
      <c r="CM7" s="5" t="b">
        <v>0</v>
      </c>
      <c r="CN7" s="5" t="b">
        <v>0</v>
      </c>
      <c r="CO7" s="5" t="b">
        <v>0</v>
      </c>
      <c r="CP7" s="5" t="b">
        <v>0</v>
      </c>
      <c r="CQ7" s="5" t="b">
        <v>0</v>
      </c>
      <c r="CR7" s="5" t="b">
        <v>1</v>
      </c>
      <c r="CS7" s="5" t="s">
        <v>254</v>
      </c>
      <c r="CT7" s="5" t="s">
        <v>31</v>
      </c>
      <c r="CU7" s="5" t="s">
        <v>126</v>
      </c>
      <c r="CV7" s="5" t="s">
        <v>64</v>
      </c>
      <c r="CW7" s="5" t="s">
        <v>68</v>
      </c>
      <c r="CX7" s="5" t="s">
        <v>73</v>
      </c>
      <c r="CY7" s="5">
        <v>13</v>
      </c>
      <c r="CZ7" s="5" t="s">
        <v>79</v>
      </c>
      <c r="DA7" s="5" t="s">
        <v>84</v>
      </c>
      <c r="DB7" s="5" t="s">
        <v>86</v>
      </c>
      <c r="DC7" s="5" t="s">
        <v>93</v>
      </c>
      <c r="DD7" s="5" t="b">
        <v>0</v>
      </c>
      <c r="DE7" s="5" t="b">
        <v>1</v>
      </c>
      <c r="DF7" s="5" t="b">
        <v>0</v>
      </c>
      <c r="DG7" s="5" t="b">
        <v>1</v>
      </c>
      <c r="DH7" s="5">
        <v>2</v>
      </c>
      <c r="DI7" s="5" t="s">
        <v>154</v>
      </c>
    </row>
    <row r="8" spans="1:114" x14ac:dyDescent="0.25">
      <c r="A8" s="5">
        <v>7</v>
      </c>
      <c r="B8" s="19">
        <v>45031</v>
      </c>
      <c r="C8" s="20">
        <v>0.51874999999999993</v>
      </c>
      <c r="D8" s="5" t="s">
        <v>1</v>
      </c>
      <c r="E8" s="5">
        <v>40</v>
      </c>
      <c r="F8" s="5" t="s">
        <v>5</v>
      </c>
      <c r="G8" s="5" t="s">
        <v>15</v>
      </c>
      <c r="H8" s="5" t="b">
        <v>1</v>
      </c>
      <c r="I8" s="5" t="b">
        <v>0</v>
      </c>
      <c r="J8" s="5" t="b">
        <v>0</v>
      </c>
      <c r="K8" s="5" t="b">
        <v>0</v>
      </c>
      <c r="L8" s="5" t="b">
        <v>0</v>
      </c>
      <c r="M8" s="5" t="b">
        <v>0</v>
      </c>
      <c r="N8" s="5" t="b">
        <v>0</v>
      </c>
      <c r="O8" s="5" t="b">
        <v>0</v>
      </c>
      <c r="P8" s="5" t="b">
        <v>0</v>
      </c>
      <c r="Q8" s="5" t="b">
        <v>1</v>
      </c>
      <c r="R8" s="5" t="b">
        <v>1</v>
      </c>
      <c r="S8" s="5" t="b">
        <v>0</v>
      </c>
      <c r="T8" s="5" t="b">
        <v>0</v>
      </c>
      <c r="U8" s="5" t="b">
        <v>0</v>
      </c>
      <c r="V8" s="5" t="b">
        <v>0</v>
      </c>
      <c r="W8" s="5" t="b">
        <v>0</v>
      </c>
      <c r="X8" s="5" t="b">
        <v>0</v>
      </c>
      <c r="Y8" s="5" t="b">
        <v>0</v>
      </c>
      <c r="Z8" s="5" t="b">
        <v>0</v>
      </c>
      <c r="AA8" s="5" t="b">
        <v>1</v>
      </c>
      <c r="AB8" s="5" t="b">
        <v>1</v>
      </c>
      <c r="AC8" s="5" t="b">
        <v>0</v>
      </c>
      <c r="AD8" s="5" t="b">
        <v>0</v>
      </c>
      <c r="AE8" s="5" t="b">
        <v>0</v>
      </c>
      <c r="AF8" s="5" t="b">
        <v>0</v>
      </c>
      <c r="AG8" s="5" t="b">
        <v>0</v>
      </c>
      <c r="AH8" s="5" t="b">
        <v>1</v>
      </c>
      <c r="AI8" s="5" t="s">
        <v>31</v>
      </c>
      <c r="AJ8" s="5" t="s">
        <v>245</v>
      </c>
      <c r="AK8" s="5" t="s">
        <v>246</v>
      </c>
      <c r="AL8" s="5" t="s">
        <v>128</v>
      </c>
      <c r="AM8" s="5" t="s">
        <v>64</v>
      </c>
      <c r="AN8" s="5" t="s">
        <v>77</v>
      </c>
      <c r="AO8" s="5" t="s">
        <v>73</v>
      </c>
      <c r="AP8" s="5">
        <v>11</v>
      </c>
      <c r="AQ8" s="5" t="s">
        <v>80</v>
      </c>
      <c r="AR8" s="5" t="s">
        <v>84</v>
      </c>
      <c r="AS8" s="5" t="s">
        <v>90</v>
      </c>
      <c r="AT8" s="5" t="s">
        <v>93</v>
      </c>
      <c r="AU8" s="5" t="b">
        <v>1</v>
      </c>
      <c r="AV8" s="5" t="b">
        <v>1</v>
      </c>
      <c r="AW8" s="5" t="b">
        <v>1</v>
      </c>
      <c r="AX8" s="5" t="b">
        <v>0</v>
      </c>
      <c r="AY8" s="5">
        <v>3</v>
      </c>
      <c r="AZ8" s="5" t="s">
        <v>95</v>
      </c>
      <c r="BA8" s="5" t="s">
        <v>247</v>
      </c>
      <c r="BB8" s="5" t="s">
        <v>101</v>
      </c>
      <c r="BC8" s="5" t="s">
        <v>247</v>
      </c>
      <c r="BD8" s="5" t="s">
        <v>105</v>
      </c>
      <c r="BE8" s="5" t="s">
        <v>108</v>
      </c>
      <c r="BF8" s="5" t="s">
        <v>107</v>
      </c>
      <c r="BG8" s="5" t="s">
        <v>123</v>
      </c>
      <c r="BH8" s="5" t="b">
        <v>1</v>
      </c>
      <c r="BI8" s="5" t="b">
        <v>1</v>
      </c>
      <c r="BJ8" s="5" t="b">
        <v>1</v>
      </c>
      <c r="BK8" s="5" t="b">
        <v>0</v>
      </c>
      <c r="BL8" s="5" t="b">
        <v>1</v>
      </c>
      <c r="BM8" s="5">
        <v>600</v>
      </c>
      <c r="BN8" s="5">
        <v>24352</v>
      </c>
      <c r="BO8" s="5">
        <v>2345</v>
      </c>
      <c r="BP8" s="5" t="s">
        <v>252</v>
      </c>
      <c r="BQ8" s="5" t="s">
        <v>253</v>
      </c>
      <c r="BR8" s="5" t="b">
        <v>1</v>
      </c>
      <c r="BS8" s="5" t="b">
        <v>0</v>
      </c>
      <c r="BT8" s="5" t="b">
        <v>0</v>
      </c>
      <c r="BU8" s="5" t="b">
        <v>0</v>
      </c>
      <c r="BV8" s="5" t="b">
        <v>0</v>
      </c>
      <c r="BW8" s="5" t="b">
        <v>0</v>
      </c>
      <c r="BX8" s="5" t="b">
        <v>0</v>
      </c>
      <c r="BY8" s="5" t="b">
        <v>0</v>
      </c>
      <c r="BZ8" s="5" t="b">
        <v>0</v>
      </c>
      <c r="CA8" s="5" t="b">
        <v>1</v>
      </c>
      <c r="CB8" s="5" t="b">
        <v>1</v>
      </c>
      <c r="CC8" s="5" t="b">
        <v>0</v>
      </c>
      <c r="CD8" s="5" t="b">
        <v>0</v>
      </c>
      <c r="CE8" s="5" t="b">
        <v>0</v>
      </c>
      <c r="CF8" s="5" t="b">
        <v>0</v>
      </c>
      <c r="CG8" s="5" t="b">
        <v>0</v>
      </c>
      <c r="CH8" s="5" t="b">
        <v>0</v>
      </c>
      <c r="CI8" s="5" t="b">
        <v>0</v>
      </c>
      <c r="CJ8" s="5" t="b">
        <v>0</v>
      </c>
      <c r="CK8" s="5" t="b">
        <v>1</v>
      </c>
      <c r="CL8" s="5" t="b">
        <v>1</v>
      </c>
      <c r="CM8" s="5" t="b">
        <v>0</v>
      </c>
      <c r="CN8" s="5" t="b">
        <v>0</v>
      </c>
      <c r="CO8" s="5" t="b">
        <v>0</v>
      </c>
      <c r="CP8" s="5" t="b">
        <v>0</v>
      </c>
      <c r="CQ8" s="5" t="b">
        <v>0</v>
      </c>
      <c r="CR8" s="5" t="b">
        <v>1</v>
      </c>
      <c r="CS8" s="5" t="s">
        <v>254</v>
      </c>
      <c r="CT8" s="5" t="s">
        <v>31</v>
      </c>
      <c r="CU8" s="5" t="s">
        <v>126</v>
      </c>
      <c r="CV8" s="5" t="s">
        <v>64</v>
      </c>
      <c r="CW8" s="5" t="s">
        <v>68</v>
      </c>
      <c r="CX8" s="5" t="s">
        <v>73</v>
      </c>
      <c r="CY8" s="5">
        <v>13</v>
      </c>
      <c r="CZ8" s="5" t="s">
        <v>79</v>
      </c>
      <c r="DA8" s="5" t="s">
        <v>84</v>
      </c>
      <c r="DB8" s="5" t="s">
        <v>86</v>
      </c>
      <c r="DC8" s="5" t="s">
        <v>93</v>
      </c>
      <c r="DD8" s="5" t="b">
        <v>0</v>
      </c>
      <c r="DE8" s="5" t="b">
        <v>1</v>
      </c>
      <c r="DF8" s="5" t="b">
        <v>0</v>
      </c>
      <c r="DG8" s="5" t="b">
        <v>1</v>
      </c>
      <c r="DH8" s="5">
        <v>2</v>
      </c>
      <c r="DI8" s="5" t="s">
        <v>154</v>
      </c>
    </row>
    <row r="9" spans="1:114" x14ac:dyDescent="0.25">
      <c r="A9" s="5">
        <v>8</v>
      </c>
      <c r="B9" s="19">
        <v>45031</v>
      </c>
      <c r="C9" s="20">
        <v>0.51944444444444449</v>
      </c>
      <c r="D9" s="5" t="s">
        <v>1</v>
      </c>
      <c r="E9" s="5">
        <v>40</v>
      </c>
      <c r="F9" s="5" t="s">
        <v>5</v>
      </c>
      <c r="G9" s="5" t="s">
        <v>15</v>
      </c>
      <c r="H9" s="5" t="b">
        <v>1</v>
      </c>
      <c r="I9" s="5" t="b">
        <v>0</v>
      </c>
      <c r="J9" s="5" t="b">
        <v>0</v>
      </c>
      <c r="K9" s="5" t="b">
        <v>0</v>
      </c>
      <c r="L9" s="5" t="b">
        <v>0</v>
      </c>
      <c r="M9" s="5" t="b">
        <v>0</v>
      </c>
      <c r="N9" s="5" t="b">
        <v>0</v>
      </c>
      <c r="O9" s="5" t="b">
        <v>0</v>
      </c>
      <c r="P9" s="5" t="b">
        <v>0</v>
      </c>
      <c r="Q9" s="5" t="b">
        <v>1</v>
      </c>
      <c r="R9" s="5" t="b">
        <v>1</v>
      </c>
      <c r="S9" s="5" t="b">
        <v>0</v>
      </c>
      <c r="T9" s="5" t="b">
        <v>0</v>
      </c>
      <c r="U9" s="5" t="b">
        <v>0</v>
      </c>
      <c r="V9" s="5" t="b">
        <v>0</v>
      </c>
      <c r="W9" s="5" t="b">
        <v>0</v>
      </c>
      <c r="X9" s="5" t="b">
        <v>0</v>
      </c>
      <c r="Y9" s="5" t="b">
        <v>0</v>
      </c>
      <c r="Z9" s="5" t="b">
        <v>0</v>
      </c>
      <c r="AA9" s="5" t="b">
        <v>1</v>
      </c>
      <c r="AB9" s="5" t="b">
        <v>1</v>
      </c>
      <c r="AC9" s="5" t="b">
        <v>0</v>
      </c>
      <c r="AD9" s="5" t="b">
        <v>0</v>
      </c>
      <c r="AE9" s="5" t="b">
        <v>0</v>
      </c>
      <c r="AF9" s="5" t="b">
        <v>0</v>
      </c>
      <c r="AG9" s="5" t="b">
        <v>0</v>
      </c>
      <c r="AH9" s="5" t="b">
        <v>1</v>
      </c>
      <c r="AI9" s="5" t="s">
        <v>31</v>
      </c>
      <c r="AJ9" s="5" t="s">
        <v>245</v>
      </c>
      <c r="AK9" s="5" t="s">
        <v>246</v>
      </c>
      <c r="AL9" s="5" t="s">
        <v>128</v>
      </c>
      <c r="AM9" s="5" t="s">
        <v>64</v>
      </c>
      <c r="AN9" s="5" t="s">
        <v>77</v>
      </c>
      <c r="AO9" s="5" t="s">
        <v>73</v>
      </c>
      <c r="AP9" s="5">
        <v>11</v>
      </c>
      <c r="AQ9" s="5" t="s">
        <v>80</v>
      </c>
      <c r="AR9" s="5" t="s">
        <v>84</v>
      </c>
      <c r="AS9" s="5" t="s">
        <v>90</v>
      </c>
      <c r="AT9" s="5" t="s">
        <v>93</v>
      </c>
      <c r="AU9" s="5" t="b">
        <v>1</v>
      </c>
      <c r="AV9" s="5" t="b">
        <v>1</v>
      </c>
      <c r="AW9" s="5" t="b">
        <v>1</v>
      </c>
      <c r="AX9" s="5" t="b">
        <v>0</v>
      </c>
      <c r="AY9" s="5">
        <v>3</v>
      </c>
      <c r="AZ9" s="5" t="s">
        <v>95</v>
      </c>
      <c r="BA9" s="5" t="s">
        <v>247</v>
      </c>
      <c r="BB9" s="5" t="s">
        <v>101</v>
      </c>
      <c r="BC9" s="5" t="s">
        <v>247</v>
      </c>
      <c r="BD9" s="5" t="s">
        <v>105</v>
      </c>
      <c r="BE9" s="5" t="s">
        <v>108</v>
      </c>
      <c r="BF9" s="5" t="s">
        <v>107</v>
      </c>
      <c r="BG9" s="5" t="s">
        <v>123</v>
      </c>
      <c r="BH9" s="5" t="b">
        <v>1</v>
      </c>
      <c r="BI9" s="5" t="b">
        <v>1</v>
      </c>
      <c r="BJ9" s="5" t="b">
        <v>1</v>
      </c>
      <c r="BK9" s="5" t="b">
        <v>0</v>
      </c>
      <c r="BL9" s="5" t="b">
        <v>1</v>
      </c>
      <c r="BM9" s="5">
        <v>600</v>
      </c>
      <c r="BN9" s="5">
        <v>24352</v>
      </c>
      <c r="BO9" s="5">
        <v>2345</v>
      </c>
      <c r="BP9" s="5" t="s">
        <v>252</v>
      </c>
      <c r="BQ9" s="5" t="s">
        <v>253</v>
      </c>
      <c r="BR9" s="5" t="b">
        <v>1</v>
      </c>
      <c r="BS9" s="5" t="b">
        <v>0</v>
      </c>
      <c r="BT9" s="5" t="b">
        <v>0</v>
      </c>
      <c r="BU9" s="5" t="b">
        <v>0</v>
      </c>
      <c r="BV9" s="5" t="b">
        <v>0</v>
      </c>
      <c r="BW9" s="5" t="b">
        <v>0</v>
      </c>
      <c r="BX9" s="5" t="b">
        <v>0</v>
      </c>
      <c r="BY9" s="5" t="b">
        <v>0</v>
      </c>
      <c r="BZ9" s="5" t="b">
        <v>0</v>
      </c>
      <c r="CA9" s="5" t="b">
        <v>1</v>
      </c>
      <c r="CB9" s="5" t="b">
        <v>1</v>
      </c>
      <c r="CC9" s="5" t="b">
        <v>0</v>
      </c>
      <c r="CD9" s="5" t="b">
        <v>0</v>
      </c>
      <c r="CE9" s="5" t="b">
        <v>0</v>
      </c>
      <c r="CF9" s="5" t="b">
        <v>0</v>
      </c>
      <c r="CG9" s="5" t="b">
        <v>0</v>
      </c>
      <c r="CH9" s="5" t="b">
        <v>0</v>
      </c>
      <c r="CI9" s="5" t="b">
        <v>0</v>
      </c>
      <c r="CJ9" s="5" t="b">
        <v>0</v>
      </c>
      <c r="CK9" s="5" t="b">
        <v>1</v>
      </c>
      <c r="CL9" s="5" t="b">
        <v>1</v>
      </c>
      <c r="CM9" s="5" t="b">
        <v>0</v>
      </c>
      <c r="CN9" s="5" t="b">
        <v>0</v>
      </c>
      <c r="CO9" s="5" t="b">
        <v>0</v>
      </c>
      <c r="CP9" s="5" t="b">
        <v>0</v>
      </c>
      <c r="CQ9" s="5" t="b">
        <v>0</v>
      </c>
      <c r="CR9" s="5" t="b">
        <v>1</v>
      </c>
      <c r="CS9" s="5" t="s">
        <v>254</v>
      </c>
      <c r="CT9" s="5" t="s">
        <v>31</v>
      </c>
      <c r="CU9" s="5" t="s">
        <v>126</v>
      </c>
      <c r="CV9" s="5" t="s">
        <v>64</v>
      </c>
      <c r="CW9" s="5" t="s">
        <v>68</v>
      </c>
      <c r="CX9" s="5" t="s">
        <v>73</v>
      </c>
      <c r="CY9" s="5">
        <v>13</v>
      </c>
      <c r="CZ9" s="5" t="s">
        <v>79</v>
      </c>
      <c r="DA9" s="5" t="s">
        <v>84</v>
      </c>
      <c r="DB9" s="5" t="s">
        <v>86</v>
      </c>
      <c r="DC9" s="5" t="s">
        <v>93</v>
      </c>
      <c r="DD9" s="5" t="b">
        <v>0</v>
      </c>
      <c r="DE9" s="5" t="b">
        <v>1</v>
      </c>
      <c r="DF9" s="5" t="b">
        <v>0</v>
      </c>
      <c r="DG9" s="5" t="b">
        <v>1</v>
      </c>
      <c r="DH9" s="5">
        <v>2</v>
      </c>
      <c r="DI9" s="5" t="s">
        <v>154</v>
      </c>
    </row>
    <row r="10" spans="1:114" x14ac:dyDescent="0.25">
      <c r="A10" s="5">
        <v>9</v>
      </c>
      <c r="B10" s="19">
        <v>45031</v>
      </c>
      <c r="C10" s="20">
        <v>0.51944444444444449</v>
      </c>
      <c r="D10" s="5" t="s">
        <v>1</v>
      </c>
      <c r="E10" s="5">
        <v>40</v>
      </c>
      <c r="F10" s="5" t="s">
        <v>5</v>
      </c>
      <c r="G10" s="5" t="s">
        <v>15</v>
      </c>
      <c r="H10" s="5" t="b">
        <v>1</v>
      </c>
      <c r="I10" s="5" t="b">
        <v>0</v>
      </c>
      <c r="J10" s="5" t="b">
        <v>0</v>
      </c>
      <c r="K10" s="5" t="b">
        <v>0</v>
      </c>
      <c r="L10" s="5" t="b">
        <v>0</v>
      </c>
      <c r="M10" s="5" t="b">
        <v>0</v>
      </c>
      <c r="N10" s="5" t="b">
        <v>0</v>
      </c>
      <c r="O10" s="5" t="b">
        <v>0</v>
      </c>
      <c r="P10" s="5" t="b">
        <v>0</v>
      </c>
      <c r="Q10" s="5" t="b">
        <v>1</v>
      </c>
      <c r="R10" s="5" t="b">
        <v>1</v>
      </c>
      <c r="S10" s="5" t="b">
        <v>0</v>
      </c>
      <c r="T10" s="5" t="b">
        <v>0</v>
      </c>
      <c r="U10" s="5" t="b">
        <v>0</v>
      </c>
      <c r="V10" s="5" t="b">
        <v>0</v>
      </c>
      <c r="W10" s="5" t="b">
        <v>0</v>
      </c>
      <c r="X10" s="5" t="b">
        <v>0</v>
      </c>
      <c r="Y10" s="5" t="b">
        <v>0</v>
      </c>
      <c r="Z10" s="5" t="b">
        <v>0</v>
      </c>
      <c r="AA10" s="5" t="b">
        <v>1</v>
      </c>
      <c r="AB10" s="5" t="b">
        <v>1</v>
      </c>
      <c r="AC10" s="5" t="b">
        <v>0</v>
      </c>
      <c r="AD10" s="5" t="b">
        <v>0</v>
      </c>
      <c r="AE10" s="5" t="b">
        <v>0</v>
      </c>
      <c r="AF10" s="5" t="b">
        <v>0</v>
      </c>
      <c r="AG10" s="5" t="b">
        <v>0</v>
      </c>
      <c r="AH10" s="5" t="b">
        <v>1</v>
      </c>
      <c r="AI10" s="5" t="s">
        <v>31</v>
      </c>
      <c r="AJ10" s="5" t="s">
        <v>245</v>
      </c>
      <c r="AK10" s="5" t="s">
        <v>246</v>
      </c>
      <c r="AL10" s="5" t="s">
        <v>128</v>
      </c>
      <c r="AM10" s="5" t="s">
        <v>64</v>
      </c>
      <c r="AN10" s="5" t="s">
        <v>77</v>
      </c>
      <c r="AO10" s="5" t="s">
        <v>73</v>
      </c>
      <c r="AP10" s="5">
        <v>11</v>
      </c>
      <c r="AQ10" s="5" t="s">
        <v>80</v>
      </c>
      <c r="AR10" s="5" t="s">
        <v>84</v>
      </c>
      <c r="AS10" s="5" t="s">
        <v>90</v>
      </c>
      <c r="AT10" s="5" t="s">
        <v>93</v>
      </c>
      <c r="AU10" s="5" t="b">
        <v>1</v>
      </c>
      <c r="AV10" s="5" t="b">
        <v>1</v>
      </c>
      <c r="AW10" s="5" t="b">
        <v>1</v>
      </c>
      <c r="AX10" s="5" t="b">
        <v>0</v>
      </c>
      <c r="AY10" s="5">
        <v>3</v>
      </c>
      <c r="AZ10" s="5" t="s">
        <v>95</v>
      </c>
      <c r="BA10" s="5" t="s">
        <v>247</v>
      </c>
      <c r="BB10" s="5" t="s">
        <v>101</v>
      </c>
      <c r="BC10" s="5" t="s">
        <v>247</v>
      </c>
      <c r="BD10" s="5" t="s">
        <v>105</v>
      </c>
      <c r="BE10" s="5" t="s">
        <v>108</v>
      </c>
      <c r="BF10" s="5" t="s">
        <v>107</v>
      </c>
      <c r="BG10" s="5" t="s">
        <v>123</v>
      </c>
      <c r="BH10" s="5" t="b">
        <v>1</v>
      </c>
      <c r="BI10" s="5" t="b">
        <v>1</v>
      </c>
      <c r="BJ10" s="5" t="b">
        <v>1</v>
      </c>
      <c r="BK10" s="5" t="b">
        <v>0</v>
      </c>
      <c r="BL10" s="5" t="b">
        <v>1</v>
      </c>
      <c r="BM10" s="5">
        <v>600</v>
      </c>
      <c r="BN10" s="5">
        <v>24352</v>
      </c>
      <c r="BO10" s="5">
        <v>2345</v>
      </c>
      <c r="BP10" s="5" t="s">
        <v>252</v>
      </c>
      <c r="BQ10" s="5" t="s">
        <v>253</v>
      </c>
      <c r="BR10" s="5" t="b">
        <v>1</v>
      </c>
      <c r="BS10" s="5" t="b">
        <v>0</v>
      </c>
      <c r="BT10" s="5" t="b">
        <v>0</v>
      </c>
      <c r="BU10" s="5" t="b">
        <v>0</v>
      </c>
      <c r="BV10" s="5" t="b">
        <v>0</v>
      </c>
      <c r="BW10" s="5" t="b">
        <v>0</v>
      </c>
      <c r="BX10" s="5" t="b">
        <v>0</v>
      </c>
      <c r="BY10" s="5" t="b">
        <v>0</v>
      </c>
      <c r="BZ10" s="5" t="b">
        <v>0</v>
      </c>
      <c r="CA10" s="5" t="b">
        <v>1</v>
      </c>
      <c r="CB10" s="5" t="b">
        <v>1</v>
      </c>
      <c r="CC10" s="5" t="b">
        <v>0</v>
      </c>
      <c r="CD10" s="5" t="b">
        <v>0</v>
      </c>
      <c r="CE10" s="5" t="b">
        <v>0</v>
      </c>
      <c r="CF10" s="5" t="b">
        <v>0</v>
      </c>
      <c r="CG10" s="5" t="b">
        <v>0</v>
      </c>
      <c r="CH10" s="5" t="b">
        <v>0</v>
      </c>
      <c r="CI10" s="5" t="b">
        <v>0</v>
      </c>
      <c r="CJ10" s="5" t="b">
        <v>0</v>
      </c>
      <c r="CK10" s="5" t="b">
        <v>1</v>
      </c>
      <c r="CL10" s="5" t="b">
        <v>1</v>
      </c>
      <c r="CM10" s="5" t="b">
        <v>0</v>
      </c>
      <c r="CN10" s="5" t="b">
        <v>0</v>
      </c>
      <c r="CO10" s="5" t="b">
        <v>0</v>
      </c>
      <c r="CP10" s="5" t="b">
        <v>0</v>
      </c>
      <c r="CQ10" s="5" t="b">
        <v>0</v>
      </c>
      <c r="CR10" s="5" t="b">
        <v>1</v>
      </c>
      <c r="CS10" s="5" t="s">
        <v>254</v>
      </c>
      <c r="CT10" s="5" t="s">
        <v>31</v>
      </c>
      <c r="CU10" s="5" t="s">
        <v>126</v>
      </c>
      <c r="CV10" s="5" t="s">
        <v>64</v>
      </c>
      <c r="CW10" s="5" t="s">
        <v>68</v>
      </c>
      <c r="CX10" s="5" t="s">
        <v>73</v>
      </c>
      <c r="CY10" s="5">
        <v>13</v>
      </c>
      <c r="CZ10" s="5" t="s">
        <v>79</v>
      </c>
      <c r="DA10" s="5" t="s">
        <v>84</v>
      </c>
      <c r="DB10" s="5" t="s">
        <v>86</v>
      </c>
      <c r="DC10" s="5" t="s">
        <v>93</v>
      </c>
      <c r="DD10" s="5" t="b">
        <v>0</v>
      </c>
      <c r="DE10" s="5" t="b">
        <v>1</v>
      </c>
      <c r="DF10" s="5" t="b">
        <v>0</v>
      </c>
      <c r="DG10" s="5" t="b">
        <v>1</v>
      </c>
      <c r="DH10" s="5">
        <v>2</v>
      </c>
      <c r="DI10" s="5" t="s">
        <v>154</v>
      </c>
    </row>
    <row r="11" spans="1:114" x14ac:dyDescent="0.25">
      <c r="A11" s="5">
        <v>10</v>
      </c>
      <c r="B11" s="19">
        <v>45031</v>
      </c>
      <c r="C11" s="20">
        <v>0.52986111111111112</v>
      </c>
      <c r="D11" s="5">
        <v>0</v>
      </c>
      <c r="E11" s="5">
        <v>50</v>
      </c>
      <c r="F11" s="5">
        <v>0</v>
      </c>
      <c r="G11" s="5">
        <v>0</v>
      </c>
      <c r="H11" s="5" t="b">
        <v>0</v>
      </c>
      <c r="I11" s="5" t="b">
        <v>0</v>
      </c>
      <c r="J11" s="5" t="b">
        <v>0</v>
      </c>
      <c r="K11" s="5" t="b">
        <v>0</v>
      </c>
      <c r="L11" s="5" t="b">
        <v>0</v>
      </c>
      <c r="M11" s="5" t="b">
        <v>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 t="b">
        <v>0</v>
      </c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 t="b">
        <v>0</v>
      </c>
      <c r="AD11" s="5" t="b">
        <v>0</v>
      </c>
      <c r="AE11" s="5" t="b">
        <v>0</v>
      </c>
      <c r="AF11" s="5" t="b">
        <v>0</v>
      </c>
      <c r="AG11" s="5" t="b">
        <v>0</v>
      </c>
      <c r="AH11" s="5" t="b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 t="s">
        <v>146</v>
      </c>
      <c r="AR11" s="5">
        <v>0</v>
      </c>
      <c r="AS11" s="5">
        <v>0</v>
      </c>
      <c r="AT11" s="5">
        <v>0</v>
      </c>
      <c r="AU11" s="5" t="b">
        <v>0</v>
      </c>
      <c r="AV11" s="5" t="b">
        <v>0</v>
      </c>
      <c r="AW11" s="5" t="b">
        <v>0</v>
      </c>
      <c r="AX11" s="5" t="b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 t="b">
        <v>0</v>
      </c>
      <c r="BI11" s="5" t="b">
        <v>0</v>
      </c>
      <c r="BJ11" s="5" t="b">
        <v>0</v>
      </c>
      <c r="BK11" s="5" t="b">
        <v>0</v>
      </c>
      <c r="BL11" s="5" t="b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 t="b">
        <v>0</v>
      </c>
      <c r="BS11" s="5" t="b">
        <v>0</v>
      </c>
      <c r="BT11" s="5" t="b">
        <v>0</v>
      </c>
      <c r="BU11" s="5" t="b">
        <v>0</v>
      </c>
      <c r="BV11" s="5" t="b">
        <v>0</v>
      </c>
      <c r="BW11" s="5" t="b">
        <v>0</v>
      </c>
      <c r="BX11" s="5" t="b">
        <v>0</v>
      </c>
      <c r="BY11" s="5" t="b">
        <v>0</v>
      </c>
      <c r="BZ11" s="5" t="b">
        <v>0</v>
      </c>
      <c r="CA11" s="5" t="b">
        <v>0</v>
      </c>
      <c r="CB11" s="5" t="b">
        <v>0</v>
      </c>
      <c r="CC11" s="5" t="b">
        <v>0</v>
      </c>
      <c r="CD11" s="5" t="b">
        <v>0</v>
      </c>
      <c r="CE11" s="5" t="b">
        <v>0</v>
      </c>
      <c r="CF11" s="5" t="b">
        <v>0</v>
      </c>
      <c r="CG11" s="5" t="b">
        <v>0</v>
      </c>
      <c r="CH11" s="5" t="b">
        <v>0</v>
      </c>
      <c r="CI11" s="5" t="b">
        <v>0</v>
      </c>
      <c r="CJ11" s="5" t="b">
        <v>0</v>
      </c>
      <c r="CK11" s="5" t="b">
        <v>0</v>
      </c>
      <c r="CL11" s="5" t="b">
        <v>0</v>
      </c>
      <c r="CM11" s="5" t="b">
        <v>0</v>
      </c>
      <c r="CN11" s="5" t="b">
        <v>0</v>
      </c>
      <c r="CO11" s="5" t="b">
        <v>0</v>
      </c>
      <c r="CP11" s="5" t="b">
        <v>0</v>
      </c>
      <c r="CQ11" s="5" t="b">
        <v>0</v>
      </c>
      <c r="CR11" s="5" t="b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 t="s">
        <v>146</v>
      </c>
      <c r="DA11" s="5">
        <v>0</v>
      </c>
      <c r="DB11" s="5">
        <v>0</v>
      </c>
      <c r="DC11" s="5">
        <v>0</v>
      </c>
      <c r="DD11" s="5" t="b">
        <v>0</v>
      </c>
      <c r="DE11" s="5" t="b">
        <v>0</v>
      </c>
      <c r="DF11" s="5" t="b">
        <v>0</v>
      </c>
      <c r="DG11" s="5" t="b">
        <v>0</v>
      </c>
      <c r="DH11" s="5">
        <v>0</v>
      </c>
      <c r="DI11" s="5">
        <v>0</v>
      </c>
    </row>
    <row r="12" spans="1:114" x14ac:dyDescent="0.25">
      <c r="A12" s="5">
        <v>11</v>
      </c>
      <c r="B12" s="19">
        <v>45031</v>
      </c>
      <c r="C12" s="20">
        <v>0.52986111111111112</v>
      </c>
      <c r="D12" s="5">
        <v>0</v>
      </c>
      <c r="E12" s="5">
        <v>50</v>
      </c>
      <c r="F12" s="5">
        <v>0</v>
      </c>
      <c r="G12" s="5">
        <v>0</v>
      </c>
      <c r="H12" s="5" t="b">
        <v>0</v>
      </c>
      <c r="I12" s="5" t="b">
        <v>0</v>
      </c>
      <c r="J12" s="5" t="b">
        <v>0</v>
      </c>
      <c r="K12" s="5" t="b">
        <v>0</v>
      </c>
      <c r="L12" s="5" t="b">
        <v>0</v>
      </c>
      <c r="M12" s="5" t="b">
        <v>0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 t="b">
        <v>0</v>
      </c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 t="b">
        <v>0</v>
      </c>
      <c r="AD12" s="5" t="b">
        <v>0</v>
      </c>
      <c r="AE12" s="5" t="b">
        <v>0</v>
      </c>
      <c r="AF12" s="5" t="b">
        <v>0</v>
      </c>
      <c r="AG12" s="5" t="b">
        <v>0</v>
      </c>
      <c r="AH12" s="5" t="b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 t="s">
        <v>146</v>
      </c>
      <c r="AR12" s="5">
        <v>0</v>
      </c>
      <c r="AS12" s="5">
        <v>0</v>
      </c>
      <c r="AT12" s="5">
        <v>0</v>
      </c>
      <c r="AU12" s="5" t="b">
        <v>0</v>
      </c>
      <c r="AV12" s="5" t="b">
        <v>0</v>
      </c>
      <c r="AW12" s="5" t="b">
        <v>0</v>
      </c>
      <c r="AX12" s="5" t="b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 t="b">
        <v>0</v>
      </c>
      <c r="BI12" s="5" t="b">
        <v>0</v>
      </c>
      <c r="BJ12" s="5" t="b">
        <v>0</v>
      </c>
      <c r="BK12" s="5" t="b">
        <v>0</v>
      </c>
      <c r="BL12" s="5" t="b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 t="b">
        <v>0</v>
      </c>
      <c r="BS12" s="5" t="b">
        <v>0</v>
      </c>
      <c r="BT12" s="5" t="b">
        <v>0</v>
      </c>
      <c r="BU12" s="5" t="b">
        <v>0</v>
      </c>
      <c r="BV12" s="5" t="b">
        <v>0</v>
      </c>
      <c r="BW12" s="5" t="b">
        <v>0</v>
      </c>
      <c r="BX12" s="5" t="b">
        <v>0</v>
      </c>
      <c r="BY12" s="5" t="b">
        <v>0</v>
      </c>
      <c r="BZ12" s="5" t="b">
        <v>0</v>
      </c>
      <c r="CA12" s="5" t="b">
        <v>0</v>
      </c>
      <c r="CB12" s="5" t="b">
        <v>0</v>
      </c>
      <c r="CC12" s="5" t="b">
        <v>0</v>
      </c>
      <c r="CD12" s="5" t="b">
        <v>0</v>
      </c>
      <c r="CE12" s="5" t="b">
        <v>0</v>
      </c>
      <c r="CF12" s="5" t="b">
        <v>0</v>
      </c>
      <c r="CG12" s="5" t="b">
        <v>0</v>
      </c>
      <c r="CH12" s="5" t="b">
        <v>0</v>
      </c>
      <c r="CI12" s="5" t="b">
        <v>0</v>
      </c>
      <c r="CJ12" s="5" t="b">
        <v>0</v>
      </c>
      <c r="CK12" s="5" t="b">
        <v>0</v>
      </c>
      <c r="CL12" s="5" t="b">
        <v>0</v>
      </c>
      <c r="CM12" s="5" t="b">
        <v>0</v>
      </c>
      <c r="CN12" s="5" t="b">
        <v>0</v>
      </c>
      <c r="CO12" s="5" t="b">
        <v>0</v>
      </c>
      <c r="CP12" s="5" t="b">
        <v>0</v>
      </c>
      <c r="CQ12" s="5" t="b">
        <v>0</v>
      </c>
      <c r="CR12" s="5" t="b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 t="s">
        <v>146</v>
      </c>
      <c r="DA12" s="5">
        <v>0</v>
      </c>
      <c r="DB12" s="5">
        <v>0</v>
      </c>
      <c r="DC12" s="5">
        <v>0</v>
      </c>
      <c r="DD12" s="5" t="b">
        <v>0</v>
      </c>
      <c r="DE12" s="5" t="b">
        <v>0</v>
      </c>
      <c r="DF12" s="5" t="b">
        <v>0</v>
      </c>
      <c r="DG12" s="5" t="b">
        <v>0</v>
      </c>
      <c r="DH12" s="5">
        <v>0</v>
      </c>
      <c r="DI12" s="5">
        <v>0</v>
      </c>
    </row>
    <row r="13" spans="1:114" x14ac:dyDescent="0.25">
      <c r="A13" s="5">
        <v>12</v>
      </c>
      <c r="B13" s="19">
        <v>45031</v>
      </c>
      <c r="C13" s="20">
        <v>0.5395833333333333</v>
      </c>
      <c r="D13" s="5">
        <v>0</v>
      </c>
      <c r="E13" s="5">
        <v>0</v>
      </c>
      <c r="F13" s="5">
        <v>0</v>
      </c>
      <c r="G13" s="5">
        <v>0</v>
      </c>
      <c r="H13" s="5" t="b">
        <v>0</v>
      </c>
      <c r="I13" s="5" t="b">
        <v>0</v>
      </c>
      <c r="J13" s="5" t="b">
        <v>0</v>
      </c>
      <c r="K13" s="5" t="b">
        <v>0</v>
      </c>
      <c r="L13" s="5" t="b">
        <v>0</v>
      </c>
      <c r="M13" s="5" t="b">
        <v>0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 t="b">
        <v>0</v>
      </c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 t="b">
        <v>0</v>
      </c>
      <c r="AD13" s="5" t="b">
        <v>0</v>
      </c>
      <c r="AE13" s="5" t="b">
        <v>0</v>
      </c>
      <c r="AF13" s="5" t="b">
        <v>0</v>
      </c>
      <c r="AG13" s="5" t="b">
        <v>0</v>
      </c>
      <c r="AH13" s="5" t="b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 t="s">
        <v>146</v>
      </c>
      <c r="AR13" s="5">
        <v>0</v>
      </c>
      <c r="AS13" s="5">
        <v>0</v>
      </c>
      <c r="AT13" s="5">
        <v>0</v>
      </c>
      <c r="AU13" s="5" t="b">
        <v>0</v>
      </c>
      <c r="AV13" s="5" t="b">
        <v>0</v>
      </c>
      <c r="AW13" s="5" t="b">
        <v>0</v>
      </c>
      <c r="AX13" s="5" t="b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 t="b">
        <v>0</v>
      </c>
      <c r="BI13" s="5" t="b">
        <v>0</v>
      </c>
      <c r="BJ13" s="5" t="b">
        <v>0</v>
      </c>
      <c r="BK13" s="5" t="b">
        <v>0</v>
      </c>
      <c r="BL13" s="5" t="b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 t="b">
        <v>0</v>
      </c>
      <c r="BS13" s="5" t="b">
        <v>0</v>
      </c>
      <c r="BT13" s="5" t="b">
        <v>0</v>
      </c>
      <c r="BU13" s="5" t="b">
        <v>0</v>
      </c>
      <c r="BV13" s="5" t="b">
        <v>0</v>
      </c>
      <c r="BW13" s="5" t="b">
        <v>0</v>
      </c>
      <c r="BX13" s="5" t="b">
        <v>0</v>
      </c>
      <c r="BY13" s="5" t="b">
        <v>0</v>
      </c>
      <c r="BZ13" s="5" t="b">
        <v>0</v>
      </c>
      <c r="CA13" s="5" t="b">
        <v>0</v>
      </c>
      <c r="CB13" s="5" t="b">
        <v>0</v>
      </c>
      <c r="CC13" s="5" t="b">
        <v>0</v>
      </c>
      <c r="CD13" s="5" t="b">
        <v>0</v>
      </c>
      <c r="CE13" s="5" t="b">
        <v>0</v>
      </c>
      <c r="CF13" s="5" t="b">
        <v>0</v>
      </c>
      <c r="CG13" s="5" t="b">
        <v>0</v>
      </c>
      <c r="CH13" s="5" t="b">
        <v>0</v>
      </c>
      <c r="CI13" s="5" t="b">
        <v>0</v>
      </c>
      <c r="CJ13" s="5" t="b">
        <v>0</v>
      </c>
      <c r="CK13" s="5" t="b">
        <v>0</v>
      </c>
      <c r="CL13" s="5" t="b">
        <v>0</v>
      </c>
      <c r="CM13" s="5" t="b">
        <v>0</v>
      </c>
      <c r="CN13" s="5" t="b">
        <v>0</v>
      </c>
      <c r="CO13" s="5" t="b">
        <v>0</v>
      </c>
      <c r="CP13" s="5" t="b">
        <v>0</v>
      </c>
      <c r="CQ13" s="5" t="b">
        <v>0</v>
      </c>
      <c r="CR13" s="5" t="b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 t="s">
        <v>146</v>
      </c>
      <c r="DA13" s="5">
        <v>0</v>
      </c>
      <c r="DB13" s="5">
        <v>0</v>
      </c>
      <c r="DC13" s="5">
        <v>0</v>
      </c>
      <c r="DD13" s="5" t="b">
        <v>0</v>
      </c>
      <c r="DE13" s="5" t="b">
        <v>0</v>
      </c>
      <c r="DF13" s="5" t="b">
        <v>0</v>
      </c>
      <c r="DG13" s="5" t="b">
        <v>0</v>
      </c>
      <c r="DH13" s="5">
        <v>0</v>
      </c>
      <c r="DI13" s="5">
        <v>0</v>
      </c>
    </row>
    <row r="14" spans="1:114" x14ac:dyDescent="0.25">
      <c r="A14" s="5">
        <v>13</v>
      </c>
      <c r="B14" s="19">
        <v>45031</v>
      </c>
      <c r="C14" s="20">
        <v>0.54166666666666663</v>
      </c>
      <c r="D14" s="5">
        <v>0</v>
      </c>
      <c r="E14" s="5">
        <v>0</v>
      </c>
      <c r="F14" s="5">
        <v>0</v>
      </c>
      <c r="G14" s="5">
        <v>0</v>
      </c>
      <c r="H14" s="5" t="b">
        <v>0</v>
      </c>
      <c r="I14" s="5" t="b">
        <v>0</v>
      </c>
      <c r="J14" s="5" t="b">
        <v>0</v>
      </c>
      <c r="K14" s="5" t="b">
        <v>0</v>
      </c>
      <c r="L14" s="5" t="b">
        <v>0</v>
      </c>
      <c r="M14" s="5" t="b">
        <v>0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 t="b">
        <v>0</v>
      </c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 t="b">
        <v>0</v>
      </c>
      <c r="AD14" s="5" t="b">
        <v>0</v>
      </c>
      <c r="AE14" s="5" t="b">
        <v>0</v>
      </c>
      <c r="AF14" s="5" t="b">
        <v>0</v>
      </c>
      <c r="AG14" s="5" t="b">
        <v>0</v>
      </c>
      <c r="AH14" s="5" t="b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 t="s">
        <v>146</v>
      </c>
      <c r="AR14" s="5">
        <v>0</v>
      </c>
      <c r="AS14" s="5">
        <v>0</v>
      </c>
      <c r="AT14" s="5">
        <v>0</v>
      </c>
      <c r="AU14" s="5" t="b">
        <v>0</v>
      </c>
      <c r="AV14" s="5" t="b">
        <v>0</v>
      </c>
      <c r="AW14" s="5" t="b">
        <v>0</v>
      </c>
      <c r="AX14" s="5" t="b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 t="b">
        <v>0</v>
      </c>
      <c r="BI14" s="5" t="b">
        <v>0</v>
      </c>
      <c r="BJ14" s="5" t="b">
        <v>0</v>
      </c>
      <c r="BK14" s="5" t="b">
        <v>0</v>
      </c>
      <c r="BL14" s="5" t="b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 t="b">
        <v>0</v>
      </c>
      <c r="BS14" s="5" t="b">
        <v>0</v>
      </c>
      <c r="BT14" s="5" t="b">
        <v>0</v>
      </c>
      <c r="BU14" s="5" t="b">
        <v>0</v>
      </c>
      <c r="BV14" s="5" t="b">
        <v>0</v>
      </c>
      <c r="BW14" s="5" t="b">
        <v>0</v>
      </c>
      <c r="BX14" s="5" t="b">
        <v>0</v>
      </c>
      <c r="BY14" s="5" t="b">
        <v>0</v>
      </c>
      <c r="BZ14" s="5" t="b">
        <v>0</v>
      </c>
      <c r="CA14" s="5" t="b">
        <v>0</v>
      </c>
      <c r="CB14" s="5" t="b">
        <v>0</v>
      </c>
      <c r="CC14" s="5" t="b">
        <v>0</v>
      </c>
      <c r="CD14" s="5" t="b">
        <v>0</v>
      </c>
      <c r="CE14" s="5" t="b">
        <v>0</v>
      </c>
      <c r="CF14" s="5" t="b">
        <v>0</v>
      </c>
      <c r="CG14" s="5" t="b">
        <v>0</v>
      </c>
      <c r="CH14" s="5" t="b">
        <v>0</v>
      </c>
      <c r="CI14" s="5" t="b">
        <v>0</v>
      </c>
      <c r="CJ14" s="5" t="b">
        <v>0</v>
      </c>
      <c r="CK14" s="5" t="b">
        <v>0</v>
      </c>
      <c r="CL14" s="5" t="b">
        <v>0</v>
      </c>
      <c r="CM14" s="5" t="b">
        <v>0</v>
      </c>
      <c r="CN14" s="5" t="b">
        <v>0</v>
      </c>
      <c r="CO14" s="5" t="b">
        <v>0</v>
      </c>
      <c r="CP14" s="5" t="b">
        <v>0</v>
      </c>
      <c r="CQ14" s="5" t="b">
        <v>0</v>
      </c>
      <c r="CR14" s="5" t="b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 t="s">
        <v>146</v>
      </c>
      <c r="DA14" s="5">
        <v>0</v>
      </c>
      <c r="DB14" s="5">
        <v>0</v>
      </c>
      <c r="DC14" s="5">
        <v>0</v>
      </c>
      <c r="DD14" s="5" t="b">
        <v>0</v>
      </c>
      <c r="DE14" s="5" t="b">
        <v>0</v>
      </c>
      <c r="DF14" s="5" t="b">
        <v>0</v>
      </c>
      <c r="DG14" s="5" t="b">
        <v>0</v>
      </c>
      <c r="DH14" s="5">
        <v>0</v>
      </c>
      <c r="DI14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C4EDF-A4D8-4E43-B380-7508F95C2038}">
  <sheetPr codeName="Sheet1"/>
  <dimension ref="A1:C1"/>
  <sheetViews>
    <sheetView workbookViewId="0">
      <selection activeCell="E9" sqref="E9"/>
    </sheetView>
  </sheetViews>
  <sheetFormatPr defaultRowHeight="15" x14ac:dyDescent="0.25"/>
  <cols>
    <col min="3" max="3" width="11.140625" bestFit="1" customWidth="1"/>
  </cols>
  <sheetData>
    <row r="1" spans="1:3" x14ac:dyDescent="0.25">
      <c r="A1" t="s">
        <v>249</v>
      </c>
      <c r="B1" t="s">
        <v>250</v>
      </c>
      <c r="C1" t="s">
        <v>251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c941e4-9dbc-466a-a966-9578e5d9664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886DDBE484C145B0277352157F9736" ma:contentTypeVersion="7" ma:contentTypeDescription="Create a new document." ma:contentTypeScope="" ma:versionID="381850326bf029dfdfc97eefc5304ce6">
  <xsd:schema xmlns:xsd="http://www.w3.org/2001/XMLSchema" xmlns:xs="http://www.w3.org/2001/XMLSchema" xmlns:p="http://schemas.microsoft.com/office/2006/metadata/properties" xmlns:ns3="a2c941e4-9dbc-466a-a966-9578e5d96645" xmlns:ns4="6a19fb84-dde3-4c1d-8554-99b64999dab5" targetNamespace="http://schemas.microsoft.com/office/2006/metadata/properties" ma:root="true" ma:fieldsID="7f2c4462ebf4f84d3aa601ec8ca2e686" ns3:_="" ns4:_="">
    <xsd:import namespace="a2c941e4-9dbc-466a-a966-9578e5d96645"/>
    <xsd:import namespace="6a19fb84-dde3-4c1d-8554-99b64999dab5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c941e4-9dbc-466a-a966-9578e5d96645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19fb84-dde3-4c1d-8554-99b64999dab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0D3298-7048-4CA6-970C-E7C976BF0DD8}">
  <ds:schemaRefs>
    <ds:schemaRef ds:uri="http://schemas.openxmlformats.org/package/2006/metadata/core-properties"/>
    <ds:schemaRef ds:uri="6a19fb84-dde3-4c1d-8554-99b64999dab5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a2c941e4-9dbc-466a-a966-9578e5d96645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12296F7-67A5-4243-B3C4-F165E3C8CE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A014076-8B46-47B7-AFF6-BBA922291E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c941e4-9dbc-466a-a966-9578e5d96645"/>
    <ds:schemaRef ds:uri="6a19fb84-dde3-4c1d-8554-99b64999da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</vt:lpstr>
      <vt:lpstr>Options</vt:lpstr>
      <vt:lpstr>Data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Re</dc:creator>
  <cp:lastModifiedBy>Placella, Heidi</cp:lastModifiedBy>
  <dcterms:created xsi:type="dcterms:W3CDTF">2023-04-03T13:45:59Z</dcterms:created>
  <dcterms:modified xsi:type="dcterms:W3CDTF">2023-04-15T17:03:08Z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0x010100FF886DDBE484C145B0277352157F9736</vt:lpwstr>
  </property>
</Properties>
</file>