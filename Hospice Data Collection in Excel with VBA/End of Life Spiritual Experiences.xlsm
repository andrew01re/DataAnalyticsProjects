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Data projects\DataAnalyticsProjects\Hospice Data Collection in Excel with VBA\"/>
    </mc:Choice>
  </mc:AlternateContent>
  <xr:revisionPtr revIDLastSave="0" documentId="8_{A3967297-60A0-4A13-B7EC-C6F2ABDD7631}" xr6:coauthVersionLast="47" xr6:coauthVersionMax="47" xr10:uidLastSave="{00000000-0000-0000-0000-000000000000}"/>
  <bookViews>
    <workbookView xWindow="-120" yWindow="-120" windowWidth="29040" windowHeight="15720" xr2:uid="{682C5D0B-C805-4137-A1E7-6884AB674A2F}"/>
  </bookViews>
  <sheets>
    <sheet name="Report" sheetId="7" r:id="rId1"/>
    <sheet name="Data" sheetId="4" r:id="rId2"/>
    <sheet name="Options" sheetId="2" r:id="rId3"/>
    <sheet name="Changelog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3" i="4" l="1"/>
  <c r="Q111" i="7"/>
  <c r="Q83" i="7"/>
  <c r="Q82" i="7"/>
  <c r="Q81" i="7"/>
  <c r="Q80" i="7"/>
  <c r="Q79" i="7"/>
  <c r="Q65" i="7"/>
  <c r="Q38" i="7"/>
  <c r="Q37" i="7"/>
  <c r="Q62" i="7"/>
  <c r="Q3" i="7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Q135" i="7"/>
  <c r="Q128" i="7"/>
  <c r="Q126" i="7"/>
  <c r="Q124" i="7"/>
  <c r="Q120" i="7"/>
  <c r="Q118" i="7"/>
  <c r="Q116" i="7"/>
  <c r="Q114" i="7"/>
  <c r="Q112" i="7"/>
  <c r="Q72" i="7"/>
  <c r="Q70" i="7"/>
  <c r="Q68" i="7"/>
  <c r="Q66" i="7"/>
  <c r="Q63" i="7"/>
  <c r="Q60" i="7"/>
  <c r="Q53" i="7"/>
  <c r="Q51" i="7"/>
  <c r="Q49" i="7"/>
  <c r="Q45" i="7"/>
  <c r="Q43" i="7"/>
  <c r="Q39" i="7"/>
  <c r="Q41" i="7"/>
  <c r="Q35" i="7"/>
  <c r="Q6" i="7"/>
  <c r="Q4" i="7"/>
  <c r="Q121" i="7"/>
  <c r="R7" i="7" s="1"/>
  <c r="Q119" i="7"/>
  <c r="R6" i="7" s="1"/>
  <c r="Q117" i="7"/>
  <c r="R5" i="7" s="1"/>
  <c r="Q115" i="7"/>
  <c r="Q113" i="7"/>
  <c r="Q73" i="7"/>
  <c r="Q71" i="7"/>
  <c r="Q69" i="7"/>
  <c r="Q67" i="7"/>
  <c r="Q64" i="7"/>
  <c r="Q61" i="7"/>
  <c r="Q46" i="7"/>
  <c r="R4" i="7" s="1"/>
  <c r="Q44" i="7"/>
  <c r="R3" i="7" s="1"/>
  <c r="Q42" i="7"/>
  <c r="R2" i="7" s="1"/>
  <c r="Q40" i="7"/>
  <c r="Q36" i="7"/>
  <c r="Q7" i="7"/>
  <c r="Q5" i="7"/>
  <c r="Q1" i="7"/>
  <c r="Q2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50" i="7" a="1"/>
  <c r="Q50" i="7" s="1"/>
  <c r="Q52" i="7" a="1"/>
  <c r="Q52" i="7" s="1"/>
  <c r="Q54" i="7" a="1"/>
  <c r="Q54" i="7" s="1"/>
  <c r="Q55" i="7"/>
  <c r="Q56" i="7"/>
  <c r="Q57" i="7"/>
  <c r="Q58" i="7"/>
  <c r="Q74" i="7"/>
  <c r="Q75" i="7"/>
  <c r="Q76" i="7"/>
  <c r="Q77" i="7"/>
  <c r="Q78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25" i="7" a="1"/>
  <c r="Q125" i="7" s="1"/>
  <c r="Q127" i="7" a="1"/>
  <c r="Q127" i="7" s="1"/>
  <c r="Q129" i="7" a="1"/>
  <c r="Q129" i="7" s="1"/>
  <c r="Q130" i="7"/>
  <c r="Q131" i="7"/>
  <c r="Q132" i="7"/>
  <c r="Q133" i="7"/>
  <c r="Q136" i="7"/>
  <c r="E188" i="7"/>
  <c r="Q134" i="7" s="1"/>
  <c r="L14" i="2"/>
  <c r="L10" i="2"/>
  <c r="L4" i="2" a="1"/>
  <c r="L4" i="2" s="1"/>
  <c r="L116" i="2"/>
  <c r="L110" i="2"/>
  <c r="L108" i="2"/>
  <c r="L107" i="2"/>
  <c r="L105" i="2"/>
  <c r="L98" i="2"/>
  <c r="L99" i="2"/>
  <c r="L100" i="2"/>
  <c r="L101" i="2"/>
  <c r="L97" i="2"/>
  <c r="L93" i="2"/>
  <c r="L91" i="2"/>
  <c r="L89" i="2"/>
  <c r="L87" i="2"/>
  <c r="L85" i="2"/>
  <c r="L83" i="2"/>
  <c r="L77" i="2"/>
  <c r="L74" i="2"/>
  <c r="L58" i="2"/>
  <c r="L57" i="2"/>
  <c r="L55" i="2"/>
  <c r="M55" i="2" s="1"/>
  <c r="L53" i="2"/>
  <c r="M53" i="2" s="1"/>
  <c r="L48" i="2"/>
  <c r="L47" i="2"/>
  <c r="L51" i="2"/>
  <c r="M51" i="2" s="1"/>
  <c r="L18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20" i="2"/>
  <c r="E81" i="7"/>
  <c r="Q59" i="7" s="1"/>
  <c r="E64" i="7" l="1"/>
  <c r="Q47" i="7" s="1"/>
  <c r="E170" i="7"/>
  <c r="Q122" i="7" s="1"/>
  <c r="F170" i="7" l="1"/>
  <c r="Q123" i="7" s="1"/>
  <c r="F64" i="7"/>
  <c r="Q4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<sst xmlns="http://schemas.openxmlformats.org/spreadsheetml/2006/main" count="2271" uniqueCount="301">
  <si>
    <t>Male</t>
  </si>
  <si>
    <t>Female</t>
  </si>
  <si>
    <t>Hispanic or Latino</t>
  </si>
  <si>
    <t>American Indian or Alaska Native</t>
  </si>
  <si>
    <t>Asian</t>
  </si>
  <si>
    <t>Black or African American</t>
  </si>
  <si>
    <t>Native Hawaiian or Other Pacific Islander</t>
  </si>
  <si>
    <t>White</t>
  </si>
  <si>
    <t>Other</t>
  </si>
  <si>
    <t>Unknown</t>
  </si>
  <si>
    <t>Religious Affiliation</t>
  </si>
  <si>
    <t>Christian - Evangelical Protestant</t>
  </si>
  <si>
    <t>Christian - Mainline Protestant</t>
  </si>
  <si>
    <t>Christian - Historically Black Protestant</t>
  </si>
  <si>
    <t>Christian - Catholic</t>
  </si>
  <si>
    <t>Christian - Mormon</t>
  </si>
  <si>
    <t>Christian - Orthodox</t>
  </si>
  <si>
    <t>Christian - Jehovah's Witness</t>
  </si>
  <si>
    <t>Christian - Other</t>
  </si>
  <si>
    <t>Jewish</t>
  </si>
  <si>
    <t>Muslim</t>
  </si>
  <si>
    <t>Buddhist</t>
  </si>
  <si>
    <t>Hindu</t>
  </si>
  <si>
    <t>Atheist</t>
  </si>
  <si>
    <t>Agnostic</t>
  </si>
  <si>
    <t>Don't Know</t>
  </si>
  <si>
    <t>Sex</t>
  </si>
  <si>
    <t>Ethnicity</t>
  </si>
  <si>
    <t>Diagnoses - manual entry</t>
  </si>
  <si>
    <t>Mobiility</t>
  </si>
  <si>
    <t>Independent, full function</t>
  </si>
  <si>
    <t>Walking Aid</t>
  </si>
  <si>
    <t>Assist X1</t>
  </si>
  <si>
    <t>Assist X2</t>
  </si>
  <si>
    <t>Bed to Chair</t>
  </si>
  <si>
    <t>Bedbound</t>
  </si>
  <si>
    <t>Notable Lab Values - manual entry or connected to database</t>
  </si>
  <si>
    <t>Motor Ability</t>
  </si>
  <si>
    <t>MRI</t>
  </si>
  <si>
    <t>CT</t>
  </si>
  <si>
    <t>EEG</t>
  </si>
  <si>
    <t>PET</t>
  </si>
  <si>
    <t>Eye Opening</t>
  </si>
  <si>
    <t>Symptoms</t>
  </si>
  <si>
    <t>Hallucinations</t>
  </si>
  <si>
    <t>Pain</t>
  </si>
  <si>
    <t>Nausea</t>
  </si>
  <si>
    <t>Vommiting</t>
  </si>
  <si>
    <t>0-10 score</t>
  </si>
  <si>
    <t>Diarhea</t>
  </si>
  <si>
    <t>Constipation</t>
  </si>
  <si>
    <t>Drowsiness</t>
  </si>
  <si>
    <t>chest</t>
  </si>
  <si>
    <t>generalized</t>
  </si>
  <si>
    <t>localized</t>
  </si>
  <si>
    <t>Work of Breathing</t>
  </si>
  <si>
    <t>Coughing</t>
  </si>
  <si>
    <t>Wheezing</t>
  </si>
  <si>
    <t>Increased Secretions</t>
  </si>
  <si>
    <t>Airway Clearance Difficulty</t>
  </si>
  <si>
    <t>Incontinence of Urine</t>
  </si>
  <si>
    <t>Incontinence of Bowels</t>
  </si>
  <si>
    <t>Urinary Retention</t>
  </si>
  <si>
    <t>Spontaneous</t>
  </si>
  <si>
    <t>To Sound</t>
  </si>
  <si>
    <t>To Pressure</t>
  </si>
  <si>
    <t>None</t>
  </si>
  <si>
    <t>Verbal Response</t>
  </si>
  <si>
    <t>Oriented</t>
  </si>
  <si>
    <t>Confused</t>
  </si>
  <si>
    <t>Sounds</t>
  </si>
  <si>
    <t>Motor Response</t>
  </si>
  <si>
    <t>Obey Commands</t>
  </si>
  <si>
    <t>Move to Localised pain</t>
  </si>
  <si>
    <t>Flex to Withdraw from Pain</t>
  </si>
  <si>
    <t>Abnormal Flexion</t>
  </si>
  <si>
    <t>Abnormal Extension</t>
  </si>
  <si>
    <t>Words</t>
  </si>
  <si>
    <t>Image Study Type</t>
  </si>
  <si>
    <t>Mild</t>
  </si>
  <si>
    <t>Moderate</t>
  </si>
  <si>
    <t>Severe</t>
  </si>
  <si>
    <t>Memory</t>
  </si>
  <si>
    <t>Long Term</t>
  </si>
  <si>
    <t>Remembers past personal/historical events accurately</t>
  </si>
  <si>
    <t>Remembers past personal/historical events with some mistakes</t>
  </si>
  <si>
    <t>Confused, some accuracy</t>
  </si>
  <si>
    <t>Confused, no accuracy</t>
  </si>
  <si>
    <t>Short Term</t>
  </si>
  <si>
    <t>Remembers recent events accurately</t>
  </si>
  <si>
    <t>Remembers recent events with some mistakes</t>
  </si>
  <si>
    <t>Recall Speed</t>
  </si>
  <si>
    <t>Immediate</t>
  </si>
  <si>
    <t>Delayed</t>
  </si>
  <si>
    <t>Orientation</t>
  </si>
  <si>
    <t>Person</t>
  </si>
  <si>
    <t>Place</t>
  </si>
  <si>
    <t>Time</t>
  </si>
  <si>
    <t>Event</t>
  </si>
  <si>
    <t>Perception</t>
  </si>
  <si>
    <t>Object</t>
  </si>
  <si>
    <t>Parent</t>
  </si>
  <si>
    <t>Sibling</t>
  </si>
  <si>
    <t>Friend</t>
  </si>
  <si>
    <t>Child</t>
  </si>
  <si>
    <t>Living</t>
  </si>
  <si>
    <t>Deceased</t>
  </si>
  <si>
    <t>Touching</t>
  </si>
  <si>
    <t>Standing in same room close by</t>
  </si>
  <si>
    <t>Standing in same room far away</t>
  </si>
  <si>
    <t>Other room</t>
  </si>
  <si>
    <t>Close/Touching</t>
  </si>
  <si>
    <t>Subject</t>
  </si>
  <si>
    <t>Living or Deceased</t>
  </si>
  <si>
    <t>Relationship</t>
  </si>
  <si>
    <t>Location</t>
  </si>
  <si>
    <t>Standing/Sitting Still</t>
  </si>
  <si>
    <t>Motioning</t>
  </si>
  <si>
    <t>Speaking</t>
  </si>
  <si>
    <t>Spiritual Experience</t>
  </si>
  <si>
    <t>Yes</t>
  </si>
  <si>
    <t>No</t>
  </si>
  <si>
    <t>Positive - loving, kind, pleasant</t>
  </si>
  <si>
    <t>Negative - upset, angry, sad, unpleasant</t>
  </si>
  <si>
    <t>Neutral</t>
  </si>
  <si>
    <t>Level of Interaction</t>
  </si>
  <si>
    <t>To stimuli</t>
  </si>
  <si>
    <t>Clear</t>
  </si>
  <si>
    <t>Unclear</t>
  </si>
  <si>
    <t>Disoriented</t>
  </si>
  <si>
    <t>Eye contact</t>
  </si>
  <si>
    <t>Duration</t>
  </si>
  <si>
    <t>Total Stranger</t>
  </si>
  <si>
    <t>Acquantence</t>
  </si>
  <si>
    <t>Action</t>
  </si>
  <si>
    <t>Age</t>
  </si>
  <si>
    <t xml:space="preserve"> </t>
  </si>
  <si>
    <t>Submitter</t>
  </si>
  <si>
    <t>Heidi Placella</t>
  </si>
  <si>
    <t>Andrew Re</t>
  </si>
  <si>
    <t>Sound</t>
  </si>
  <si>
    <t>Other Sensation</t>
  </si>
  <si>
    <t>Patient Response</t>
  </si>
  <si>
    <t>asdfasdf</t>
  </si>
  <si>
    <t>Date</t>
  </si>
  <si>
    <t>Owner</t>
  </si>
  <si>
    <t>Description</t>
  </si>
  <si>
    <t>sex_code</t>
  </si>
  <si>
    <t>sex</t>
  </si>
  <si>
    <t>fadsfads</t>
  </si>
  <si>
    <t>asdffasd</t>
  </si>
  <si>
    <t>asdfffff</t>
  </si>
  <si>
    <t>aaaadddd</t>
  </si>
  <si>
    <t>asdfasdfadsf</t>
  </si>
  <si>
    <t>age</t>
  </si>
  <si>
    <t>ethnicity</t>
  </si>
  <si>
    <t>religious_affiliation</t>
  </si>
  <si>
    <t>pain_generalized_pre_exp</t>
  </si>
  <si>
    <t>pain_localized_pre_exp</t>
  </si>
  <si>
    <t>incontinence_of_urine_pre_exp</t>
  </si>
  <si>
    <t>incontinence_of_bowels_pre_exp</t>
  </si>
  <si>
    <t>urinary_retention_pre_exp</t>
  </si>
  <si>
    <t>nausia_pre_exp</t>
  </si>
  <si>
    <t>vomiting_pre_exp</t>
  </si>
  <si>
    <t>diarrhea_pre_exp</t>
  </si>
  <si>
    <t>constipation_pre_exp</t>
  </si>
  <si>
    <t>shortness_of_breath_pre_exp</t>
  </si>
  <si>
    <t>airway_clearance_pre_exp</t>
  </si>
  <si>
    <t>confusion_pre_exp</t>
  </si>
  <si>
    <t>drowsiness_pre_exp</t>
  </si>
  <si>
    <t>cough_pre_exp</t>
  </si>
  <si>
    <t>wheezing_pre_exp</t>
  </si>
  <si>
    <t>palpitations_pre_exp</t>
  </si>
  <si>
    <t>tachycardia_pre_exp</t>
  </si>
  <si>
    <t>bradycardis_pre_exp</t>
  </si>
  <si>
    <t>hypertension_pre_exp</t>
  </si>
  <si>
    <t>hypotension_pre_exp</t>
  </si>
  <si>
    <t>cognitive_impairment_(severe)_pre_exp</t>
  </si>
  <si>
    <t>cognitive_impairment_(mild)_pre_exp</t>
  </si>
  <si>
    <t>weakness_pre_exp</t>
  </si>
  <si>
    <t>fever_pre_exp</t>
  </si>
  <si>
    <t>anorexia_pre_exp</t>
  </si>
  <si>
    <t>adipsia_pre_exp</t>
  </si>
  <si>
    <t>mobility_pre_exp</t>
  </si>
  <si>
    <t>notable_lab_results_pre_exp</t>
  </si>
  <si>
    <t>diagnoses_pre_exp</t>
  </si>
  <si>
    <t>level_of_interaction_pre_exp</t>
  </si>
  <si>
    <t>eye_opening_pre_exp</t>
  </si>
  <si>
    <t>verbal_response_pre_exp</t>
  </si>
  <si>
    <t>motor_response_pre_exp</t>
  </si>
  <si>
    <t>glasgow_coma_score_pre_exp</t>
  </si>
  <si>
    <t>glasgow_severity_pre_exp</t>
  </si>
  <si>
    <t>long_term_memory_pre_exp</t>
  </si>
  <si>
    <t>short_term_memory_pre_exp</t>
  </si>
  <si>
    <t>recall_speed_pre_exp</t>
  </si>
  <si>
    <t>orientation_person_pre_exp</t>
  </si>
  <si>
    <t>orientation_place_pre_exp</t>
  </si>
  <si>
    <t>orientation_time_pre_exp</t>
  </si>
  <si>
    <t>orientation_event_pre_exp</t>
  </si>
  <si>
    <t>orientation_score_pre_exp</t>
  </si>
  <si>
    <t>perceived_subject</t>
  </si>
  <si>
    <t>object_description</t>
  </si>
  <si>
    <t>relationship</t>
  </si>
  <si>
    <t>other_relationship_description</t>
  </si>
  <si>
    <t>living_or_deceased</t>
  </si>
  <si>
    <t>location</t>
  </si>
  <si>
    <t>action</t>
  </si>
  <si>
    <t>patient_response</t>
  </si>
  <si>
    <t>feeling_of_oneness,_correctedness</t>
  </si>
  <si>
    <t>feeling_of_forgiveness,_peace,_life_satisfaction</t>
  </si>
  <si>
    <t>feeling_of_readiness_to_let_go</t>
  </si>
  <si>
    <t>days_before_death</t>
  </si>
  <si>
    <t>length_of_episode_days</t>
  </si>
  <si>
    <t>length_of_episode_hours</t>
  </si>
  <si>
    <t>episode_narrative</t>
  </si>
  <si>
    <t>other_notes</t>
  </si>
  <si>
    <t>pain_generalized_post_exp</t>
  </si>
  <si>
    <t>pain_localized_post_exp</t>
  </si>
  <si>
    <t>incontinence_of_urine_post_exp</t>
  </si>
  <si>
    <t>incontinence_of_bowels_post_exp</t>
  </si>
  <si>
    <t>urinary_retention_post_exp</t>
  </si>
  <si>
    <t>nausia_post_exp</t>
  </si>
  <si>
    <t>vomiting_post_exp</t>
  </si>
  <si>
    <t>diarrhea_post_exp</t>
  </si>
  <si>
    <t>constipation_post_exp</t>
  </si>
  <si>
    <t>shortness_of_breath_post_exp</t>
  </si>
  <si>
    <t>airway_clearance_post_exp</t>
  </si>
  <si>
    <t>confusion_post_exp</t>
  </si>
  <si>
    <t>drowsiness_post_exp</t>
  </si>
  <si>
    <t>cough_post_exp</t>
  </si>
  <si>
    <t>wheezing_post_exp</t>
  </si>
  <si>
    <t>palpitations_post_exp</t>
  </si>
  <si>
    <t>tachycardia_post_exp</t>
  </si>
  <si>
    <t>bradycardis_post_exp</t>
  </si>
  <si>
    <t>hypertension_post_exp</t>
  </si>
  <si>
    <t>hypotension_post_exp</t>
  </si>
  <si>
    <t>cognitive_impairment_(severe)_post_exp</t>
  </si>
  <si>
    <t>cognitive_impairment_(mild)_post_exp</t>
  </si>
  <si>
    <t>weakness_post_exp</t>
  </si>
  <si>
    <t>fever_post_exp</t>
  </si>
  <si>
    <t>anorexia_post_exp</t>
  </si>
  <si>
    <t>adipsia_post_exp</t>
  </si>
  <si>
    <t>notable_lab_results_post_exp</t>
  </si>
  <si>
    <t>mobility_post_exp</t>
  </si>
  <si>
    <t>level_of_interaction_post_exp</t>
  </si>
  <si>
    <t>eye_opening_post_exp</t>
  </si>
  <si>
    <t>verbal_response_post_exp</t>
  </si>
  <si>
    <t>motor_response_post_exp</t>
  </si>
  <si>
    <t>glasgow_coma_score_post_exp</t>
  </si>
  <si>
    <t>glasgow_severity_post_exp</t>
  </si>
  <si>
    <t>long_term_memory_post_exp</t>
  </si>
  <si>
    <t>short_term_memory_post_exp</t>
  </si>
  <si>
    <t>recall_speed_post_exp</t>
  </si>
  <si>
    <t>orientation_person_post_exp</t>
  </si>
  <si>
    <t>orientation_place_post_exp</t>
  </si>
  <si>
    <t>orientation_time_post_exp</t>
  </si>
  <si>
    <t>orientation_event_post_exp</t>
  </si>
  <si>
    <t>orientation_score_post_exp</t>
  </si>
  <si>
    <t>submitter</t>
  </si>
  <si>
    <t>ethnicity_code</t>
  </si>
  <si>
    <t>religious_affiliation_code</t>
  </si>
  <si>
    <t>mobility_pre_exp_code</t>
  </si>
  <si>
    <t>level_of_interaction_pre_exp_code</t>
  </si>
  <si>
    <t>eye_opening_pre_exp_code</t>
  </si>
  <si>
    <t>verbal_response_pre_exp_code</t>
  </si>
  <si>
    <t>motor_response_pre_exp_code</t>
  </si>
  <si>
    <t>-</t>
  </si>
  <si>
    <t>long_term_memory_pre_exp_code</t>
  </si>
  <si>
    <t>short_term_memory_pre_exp_code</t>
  </si>
  <si>
    <t>recall_speed_pre_exp_code</t>
  </si>
  <si>
    <t>perceived_subject_code</t>
  </si>
  <si>
    <t>relationship_code</t>
  </si>
  <si>
    <t>living_or_deceased_code</t>
  </si>
  <si>
    <t>location_code</t>
  </si>
  <si>
    <t>action_code</t>
  </si>
  <si>
    <t>patient_response_code</t>
  </si>
  <si>
    <t>agitation_restlessness_pre_exp</t>
  </si>
  <si>
    <t>feeling_the_precense_connectedness_with_a_higher_being</t>
  </si>
  <si>
    <t>religion_specific_figures_experiences</t>
  </si>
  <si>
    <t>agitation_restlessness_post_exp</t>
  </si>
  <si>
    <t>mobility_post_exp_code</t>
  </si>
  <si>
    <t>level_of_interaction_post_exp_code</t>
  </si>
  <si>
    <t>eye_opening_post_exp_code</t>
  </si>
  <si>
    <t>verbal_response_post_exp_code</t>
  </si>
  <si>
    <t>motor_response_post_exp_code</t>
  </si>
  <si>
    <t>long_term_memory_post_exp_code</t>
  </si>
  <si>
    <t>short_term_memory_post_exp_code</t>
  </si>
  <si>
    <t>recall_speed_post_exp_code</t>
  </si>
  <si>
    <t>submitter_code</t>
  </si>
  <si>
    <t>report_number</t>
  </si>
  <si>
    <t>report_date</t>
  </si>
  <si>
    <t>report_time</t>
  </si>
  <si>
    <t>adsfasdf asv</t>
  </si>
  <si>
    <t>asdf asd fasdf</t>
  </si>
  <si>
    <t>afasdfas</t>
  </si>
  <si>
    <t>adsfasdf</t>
  </si>
  <si>
    <t>fdff</t>
  </si>
  <si>
    <t>ssds</t>
  </si>
  <si>
    <t>sadfasdfas</t>
  </si>
  <si>
    <t>report_name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</si>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</sst>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4" borderId="1" xfId="0" applyFill="1" applyBorder="1" applyAlignment="1">
      <alignment horizontal="left" vertical="top" wrapText="1"/>
    </xf>
    <xf numFmtId="0" fontId="0" fillId="3" borderId="0" xfId="0" applyFill="1" applyAlignment="1">
      <alignment horizontal="right" shrinkToFit="1"/>
    </xf>
    <xf numFmtId="14" fontId="4" fillId="0" borderId="0" xfId="0" applyNumberFormat="1" applyFont="1"/>
    <xf numFmtId="164" fontId="4" fillId="0" borderId="0" xfId="0" applyNumberFormat="1" applyFont="1"/>
    <xf numFmtId="0" fontId="4" fillId="0" borderId="1" xfId="0" applyFont="1" applyBorder="1"/>
    <xf numFmtId="0" fontId="0" fillId="5" borderId="0" xfId="0" applyFill="1"/>
    <xf numFmtId="0" fontId="0" fillId="4" borderId="1" xfId="0" applyFill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 wrapText="1"/>
    </xf>
    <xf numFmtId="0" fontId="0" fillId="4" borderId="3" xfId="0" applyFill="1" applyBorder="1" applyAlignment="1">
      <alignment horizontal="left" vertical="top" wrapText="1"/>
    </xf>
    <xf numFmtId="0" fontId="0" fillId="4" borderId="4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P$1" noThreeD="1"/>
</file>

<file path=xl/ctrlProps/ctrlProp3.xml><?xml version="1.0" encoding="utf-8"?>
<formControlPr xmlns="http://schemas.microsoft.com/office/spreadsheetml/2009/9/main" objectType="Radio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Drop" dropStyle="combo" dx="22" fmlaLink="$P$4" fmlaRange="Options!$A$121:$A$129" noThreeD="1" sel="1" val="0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Drop" dropStyle="combo" dx="22" fmlaLink="$P$6" fmlaRange="Options!$A$132:$A$148" noThreeD="1" sel="1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Drop" dropStyle="combo" dx="22" fmlaLink="$P$35" fmlaRange="Options!$A$153:$A$159" noThreeD="1" sel="1" val="0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Style="combo" dx="22" fmlaLink="$P$41" fmlaRange="Options!$A$172:$A$176" noThreeD="1" sel="1" val="0"/>
</file>

<file path=xl/ctrlProps/ctrlProp15.xml><?xml version="1.0" encoding="utf-8"?>
<formControlPr xmlns="http://schemas.microsoft.com/office/spreadsheetml/2009/9/main" objectType="Drop" dropStyle="combo" dx="22" fmlaLink="$P$43" fmlaRange="Options!$A$178:$A$183" noThreeD="1" sel="1" val="0"/>
</file>

<file path=xl/ctrlProps/ctrlProp16.xml><?xml version="1.0" encoding="utf-8"?>
<formControlPr xmlns="http://schemas.microsoft.com/office/spreadsheetml/2009/9/main" objectType="Drop" dropStyle="combo" dx="22" fmlaLink="$P$45" fmlaRange="Options!$A$185:$A$191" noThreeD="1" sel="1" val="0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Drop" dropStyle="combo" dx="22" fmlaLink="$P$49" fmlaRange="Options!$A$216:$A$220" noThreeD="1" sel="1" val="0"/>
</file>

<file path=xl/ctrlProps/ctrlProp22.xml><?xml version="1.0" encoding="utf-8"?>
<formControlPr xmlns="http://schemas.microsoft.com/office/spreadsheetml/2009/9/main" objectType="Drop" dropStyle="combo" dx="22" fmlaLink="$P$53" fmlaRange="Options!$A$228:$A$231" noThreeD="1" sel="1" val="0"/>
</file>

<file path=xl/ctrlProps/ctrlProp23.xml><?xml version="1.0" encoding="utf-8"?>
<formControlPr xmlns="http://schemas.microsoft.com/office/spreadsheetml/2009/9/main" objectType="CheckBox" fmlaLink="$P$55" lockText="1" noThreeD="1"/>
</file>

<file path=xl/ctrlProps/ctrlProp24.xml><?xml version="1.0" encoding="utf-8"?>
<formControlPr xmlns="http://schemas.microsoft.com/office/spreadsheetml/2009/9/main" objectType="CheckBox" fmlaLink="$P$56" lockText="1" noThreeD="1"/>
</file>

<file path=xl/ctrlProps/ctrlProp25.xml><?xml version="1.0" encoding="utf-8"?>
<formControlPr xmlns="http://schemas.microsoft.com/office/spreadsheetml/2009/9/main" objectType="CheckBox" fmlaLink="$P$57" lockText="1" noThreeD="1"/>
</file>

<file path=xl/ctrlProps/ctrlProp26.xml><?xml version="1.0" encoding="utf-8"?>
<formControlPr xmlns="http://schemas.microsoft.com/office/spreadsheetml/2009/9/main" objectType="CheckBox" fmlaLink="$P$58" lockText="1" noThreeD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CheckBox" fmlaLink="$P$8" lockText="1" noThreeD="1"/>
</file>

<file path=xl/ctrlProps/ctrlProp30.xml><?xml version="1.0" encoding="utf-8"?>
<formControlPr xmlns="http://schemas.microsoft.com/office/spreadsheetml/2009/9/main" objectType="CheckBox" fmlaLink="$P$9" lockText="1" noThreeD="1"/>
</file>

<file path=xl/ctrlProps/ctrlProp31.xml><?xml version="1.0" encoding="utf-8"?>
<formControlPr xmlns="http://schemas.microsoft.com/office/spreadsheetml/2009/9/main" objectType="CheckBox" fmlaLink="$P$10" lockText="1" noThreeD="1"/>
</file>

<file path=xl/ctrlProps/ctrlProp32.xml><?xml version="1.0" encoding="utf-8"?>
<formControlPr xmlns="http://schemas.microsoft.com/office/spreadsheetml/2009/9/main" objectType="CheckBox" fmlaLink="$P$11" lockText="1" noThreeD="1"/>
</file>

<file path=xl/ctrlProps/ctrlProp33.xml><?xml version="1.0" encoding="utf-8"?>
<formControlPr xmlns="http://schemas.microsoft.com/office/spreadsheetml/2009/9/main" objectType="CheckBox" fmlaLink="$P$12" lockText="1" noThreeD="1"/>
</file>

<file path=xl/ctrlProps/ctrlProp34.xml><?xml version="1.0" encoding="utf-8"?>
<formControlPr xmlns="http://schemas.microsoft.com/office/spreadsheetml/2009/9/main" objectType="CheckBox" fmlaLink="$P$13" lockText="1" noThreeD="1"/>
</file>

<file path=xl/ctrlProps/ctrlProp35.xml><?xml version="1.0" encoding="utf-8"?>
<formControlPr xmlns="http://schemas.microsoft.com/office/spreadsheetml/2009/9/main" objectType="CheckBox" fmlaLink="$P$14" lockText="1" noThreeD="1"/>
</file>

<file path=xl/ctrlProps/ctrlProp36.xml><?xml version="1.0" encoding="utf-8"?>
<formControlPr xmlns="http://schemas.microsoft.com/office/spreadsheetml/2009/9/main" objectType="CheckBox" fmlaLink="$P$15" lockText="1" noThreeD="1"/>
</file>

<file path=xl/ctrlProps/ctrlProp37.xml><?xml version="1.0" encoding="utf-8"?>
<formControlPr xmlns="http://schemas.microsoft.com/office/spreadsheetml/2009/9/main" objectType="CheckBox" fmlaLink="$P$16" lockText="1" noThreeD="1"/>
</file>

<file path=xl/ctrlProps/ctrlProp38.xml><?xml version="1.0" encoding="utf-8"?>
<formControlPr xmlns="http://schemas.microsoft.com/office/spreadsheetml/2009/9/main" objectType="CheckBox" fmlaLink="$P$17" lockText="1" noThreeD="1"/>
</file>

<file path=xl/ctrlProps/ctrlProp39.xml><?xml version="1.0" encoding="utf-8"?>
<formControlPr xmlns="http://schemas.microsoft.com/office/spreadsheetml/2009/9/main" objectType="CheckBox" fmlaLink="$P$18" lockText="1" noThreeD="1"/>
</file>

<file path=xl/ctrlProps/ctrlProp40.xml><?xml version="1.0" encoding="utf-8"?>
<formControlPr xmlns="http://schemas.microsoft.com/office/spreadsheetml/2009/9/main" objectType="CheckBox" fmlaLink="$P$19" lockText="1" noThreeD="1"/>
</file>

<file path=xl/ctrlProps/ctrlProp41.xml><?xml version="1.0" encoding="utf-8"?>
<formControlPr xmlns="http://schemas.microsoft.com/office/spreadsheetml/2009/9/main" objectType="CheckBox" fmlaLink="$P$20" lockText="1" noThreeD="1"/>
</file>

<file path=xl/ctrlProps/ctrlProp42.xml><?xml version="1.0" encoding="utf-8"?>
<formControlPr xmlns="http://schemas.microsoft.com/office/spreadsheetml/2009/9/main" objectType="CheckBox" fmlaLink="$P$21" lockText="1" noThreeD="1"/>
</file>

<file path=xl/ctrlProps/ctrlProp43.xml><?xml version="1.0" encoding="utf-8"?>
<formControlPr xmlns="http://schemas.microsoft.com/office/spreadsheetml/2009/9/main" objectType="CheckBox" fmlaLink="$P$22" lockText="1" noThreeD="1"/>
</file>

<file path=xl/ctrlProps/ctrlProp44.xml><?xml version="1.0" encoding="utf-8"?>
<formControlPr xmlns="http://schemas.microsoft.com/office/spreadsheetml/2009/9/main" objectType="CheckBox" fmlaLink="$P$23" lockText="1" noThreeD="1"/>
</file>

<file path=xl/ctrlProps/ctrlProp45.xml><?xml version="1.0" encoding="utf-8"?>
<formControlPr xmlns="http://schemas.microsoft.com/office/spreadsheetml/2009/9/main" objectType="CheckBox" fmlaLink="$P$24" lockText="1" noThreeD="1"/>
</file>

<file path=xl/ctrlProps/ctrlProp46.xml><?xml version="1.0" encoding="utf-8"?>
<formControlPr xmlns="http://schemas.microsoft.com/office/spreadsheetml/2009/9/main" objectType="CheckBox" fmlaLink="$P$25" lockText="1" noThreeD="1"/>
</file>

<file path=xl/ctrlProps/ctrlProp47.xml><?xml version="1.0" encoding="utf-8"?>
<formControlPr xmlns="http://schemas.microsoft.com/office/spreadsheetml/2009/9/main" objectType="CheckBox" fmlaLink="$P$26" lockText="1" noThreeD="1"/>
</file>

<file path=xl/ctrlProps/ctrlProp48.xml><?xml version="1.0" encoding="utf-8"?>
<formControlPr xmlns="http://schemas.microsoft.com/office/spreadsheetml/2009/9/main" objectType="CheckBox" fmlaLink="$P$27" lockText="1" noThreeD="1"/>
</file>

<file path=xl/ctrlProps/ctrlProp49.xml><?xml version="1.0" encoding="utf-8"?>
<formControlPr xmlns="http://schemas.microsoft.com/office/spreadsheetml/2009/9/main" objectType="CheckBox" fmlaLink="$P$28" lockText="1" noThreeD="1"/>
</file>

<file path=xl/ctrlProps/ctrlProp50.xml><?xml version="1.0" encoding="utf-8"?>
<formControlPr xmlns="http://schemas.microsoft.com/office/spreadsheetml/2009/9/main" objectType="CheckBox" fmlaLink="$P$29" lockText="1" noThreeD="1"/>
</file>

<file path=xl/ctrlProps/ctrlProp51.xml><?xml version="1.0" encoding="utf-8"?>
<formControlPr xmlns="http://schemas.microsoft.com/office/spreadsheetml/2009/9/main" objectType="CheckBox" fmlaLink="$P$30" lockText="1" noThreeD="1"/>
</file>

<file path=xl/ctrlProps/ctrlProp52.xml><?xml version="1.0" encoding="utf-8"?>
<formControlPr xmlns="http://schemas.microsoft.com/office/spreadsheetml/2009/9/main" objectType="CheckBox" fmlaLink="$P$31" lockText="1" noThreeD="1"/>
</file>

<file path=xl/ctrlProps/ctrlProp53.xml><?xml version="1.0" encoding="utf-8"?>
<formControlPr xmlns="http://schemas.microsoft.com/office/spreadsheetml/2009/9/main" objectType="CheckBox" fmlaLink="$P$32" lockText="1" noThreeD="1"/>
</file>

<file path=xl/ctrlProps/ctrlProp54.xml><?xml version="1.0" encoding="utf-8"?>
<formControlPr xmlns="http://schemas.microsoft.com/office/spreadsheetml/2009/9/main" objectType="CheckBox" fmlaLink="$P$33" lockText="1" noThreeD="1"/>
</file>

<file path=xl/ctrlProps/ctrlProp55.xml><?xml version="1.0" encoding="utf-8"?>
<formControlPr xmlns="http://schemas.microsoft.com/office/spreadsheetml/2009/9/main" objectType="CheckBox" fmlaLink="$P$34" lockText="1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Drop" dropStyle="combo" dx="22" fmlaLink="$P$51" fmlaRange="Options!$A$222:$A$226" noThreeD="1" sel="1" val="0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Drop" dropStyle="combo" dx="22" fmlaLink="$P$60" fmlaRange="Options!$A$241:$A$245" noThreeD="1" sel="1" val="0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Drop" dropStyle="combo" dx="22" fmlaLink="$P$63" fmlaRange="Options!$A$253:$A$260" noThreeD="1" sel="1" val="0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Drop" dropStyle="combo" dx="22" fmlaLink="$P$66" fmlaRange="Options!$A$248:$A$251" noThreeD="1" sel="1" val="0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Drop" dropStyle="combo" dx="22" fmlaLink="$P$68" fmlaRange="Options!$A$262:$A$266" noThreeD="1" sel="1" val="0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Drop" dropStyle="combo" dx="22" fmlaLink="$P$70" fmlaRange="Options!$A$268:$A$272" noThreeD="1" sel="1" val="0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Drop" dropStyle="combo" dx="22" fmlaLink="$P$72" fmlaRange="Options!$A$274:$A$278" noThreeD="1" sel="1" val="0"/>
</file>

<file path=xl/ctrlProps/ctrlProp72.xml><?xml version="1.0" encoding="utf-8"?>
<formControlPr xmlns="http://schemas.microsoft.com/office/spreadsheetml/2009/9/main" objectType="Drop" dropStyle="combo" dx="22" fmlaLink="$P$39" fmlaRange="Options!$A$280:$A$287" noThreeD="1" sel="1" val="0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CheckBox" fmlaLink="$P$74" lockText="1" noThreeD="1"/>
</file>

<file path=xl/ctrlProps/ctrlProp75.xml><?xml version="1.0" encoding="utf-8"?>
<formControlPr xmlns="http://schemas.microsoft.com/office/spreadsheetml/2009/9/main" objectType="CheckBox" fmlaLink="$P$75" lockText="1" noThreeD="1"/>
</file>

<file path=xl/ctrlProps/ctrlProp76.xml><?xml version="1.0" encoding="utf-8"?>
<formControlPr xmlns="http://schemas.microsoft.com/office/spreadsheetml/2009/9/main" objectType="CheckBox" fmlaLink="$P$76" lockText="1" noThreeD="1"/>
</file>

<file path=xl/ctrlProps/ctrlProp77.xml><?xml version="1.0" encoding="utf-8"?>
<formControlPr xmlns="http://schemas.microsoft.com/office/spreadsheetml/2009/9/main" objectType="CheckBox" fmlaLink="$P$77" lockText="1" noThreeD="1"/>
</file>

<file path=xl/ctrlProps/ctrlProp78.xml><?xml version="1.0" encoding="utf-8"?>
<formControlPr xmlns="http://schemas.microsoft.com/office/spreadsheetml/2009/9/main" objectType="CheckBox" fmlaLink="$P$78" lockText="1" noThreeD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Drop" dropStyle="combo" dx="22" fmlaLink="$P$135" fmlaRange="Options!$A$296:$A$298" noThreeD="1" sel="1" val="0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Drop" dropStyle="combo" dx="22" fmlaLink="$P$112" fmlaRange="Options!$A$153:$A$159" noThreeD="1" sel="1" val="0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ctrlProps/ctrlProp94.xml><?xml version="1.0" encoding="utf-8"?>
<formControlPr xmlns="http://schemas.microsoft.com/office/spreadsheetml/2009/9/main" objectType="Drop" dropStyle="combo" dx="22" fmlaLink="$P$116" fmlaRange="Options!$A$172:$A$176" noThreeD="1" sel="1" val="0"/>
</file>

<file path=xl/ctrlProps/ctrlProp95.xml><?xml version="1.0" encoding="utf-8"?>
<formControlPr xmlns="http://schemas.microsoft.com/office/spreadsheetml/2009/9/main" objectType="Drop" dropStyle="combo" dx="22" fmlaLink="$P$118" fmlaRange="Options!$A$178:$A$183" noThreeD="1" sel="1" val="0"/>
</file>

<file path=xl/ctrlProps/ctrlProp96.xml><?xml version="1.0" encoding="utf-8"?>
<formControlPr xmlns="http://schemas.microsoft.com/office/spreadsheetml/2009/9/main" objectType="Drop" dropStyle="combo" dx="22" fmlaLink="$P$120" fmlaRange="Options!$A$185:$A$191" noThreeD="1" sel="1" val="0"/>
</file>

<file path=xl/ctrlProps/ctrlProp97.xml><?xml version="1.0" encoding="utf-8"?>
<formControlPr xmlns="http://schemas.microsoft.com/office/spreadsheetml/2009/9/main" objectType="Drop" dropStyle="combo" dx="22" fmlaLink="$P$124" fmlaRange="Options!$A$216:$A$220" noThreeD="1" sel="1" val="0"/>
</file>

<file path=xl/ctrlProps/ctrlProp98.xml><?xml version="1.0" encoding="utf-8"?>
<formControlPr xmlns="http://schemas.microsoft.com/office/spreadsheetml/2009/9/main" objectType="Drop" dropStyle="combo" dx="22" fmlaLink="$P$128" fmlaRange="Options!$A$228:$A$231" noThreeD="1" sel="1" val="0"/>
</file>

<file path=xl/ctrlProps/ctrlProp99.xml><?xml version="1.0" encoding="utf-8"?>
<formControlPr xmlns="http://schemas.microsoft.com/office/spreadsheetml/2009/9/main" objectType="CheckBox" fmlaLink="$P$130" lockText="1" noThreeD="1"/>
</file>

<file path=xl/ctrlProps/ctrlProp100.xml><?xml version="1.0" encoding="utf-8"?>
<formControlPr xmlns="http://schemas.microsoft.com/office/spreadsheetml/2009/9/main" objectType="CheckBox" fmlaLink="$P$131" lockText="1" noThreeD="1"/>
</file>

<file path=xl/ctrlProps/ctrlProp101.xml><?xml version="1.0" encoding="utf-8"?>
<formControlPr xmlns="http://schemas.microsoft.com/office/spreadsheetml/2009/9/main" objectType="CheckBox" fmlaLink="$P$132" lockText="1" noThreeD="1"/>
</file>

<file path=xl/ctrlProps/ctrlProp102.xml><?xml version="1.0" encoding="utf-8"?>
<formControlPr xmlns="http://schemas.microsoft.com/office/spreadsheetml/2009/9/main" objectType="CheckBox" fmlaLink="$P$133" lockText="1" noThreeD="1"/>
</file>

<file path=xl/ctrlProps/ctrlProp103.xml><?xml version="1.0" encoding="utf-8"?>
<formControlPr xmlns="http://schemas.microsoft.com/office/spreadsheetml/2009/9/main" objectType="Label" lockText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CheckBox" fmlaLink="$P$84" lockText="1" noThreeD="1"/>
</file>

<file path=xl/ctrlProps/ctrlProp106.xml><?xml version="1.0" encoding="utf-8"?>
<formControlPr xmlns="http://schemas.microsoft.com/office/spreadsheetml/2009/9/main" objectType="CheckBox" fmlaLink="$P$85" lockText="1" noThreeD="1"/>
</file>

<file path=xl/ctrlProps/ctrlProp107.xml><?xml version="1.0" encoding="utf-8"?>
<formControlPr xmlns="http://schemas.microsoft.com/office/spreadsheetml/2009/9/main" objectType="CheckBox" fmlaLink="$P$86" lockText="1" noThreeD="1"/>
</file>

<file path=xl/ctrlProps/ctrlProp108.xml><?xml version="1.0" encoding="utf-8"?>
<formControlPr xmlns="http://schemas.microsoft.com/office/spreadsheetml/2009/9/main" objectType="CheckBox" fmlaLink="$P$87" lockText="1" noThreeD="1"/>
</file>

<file path=xl/ctrlProps/ctrlProp109.xml><?xml version="1.0" encoding="utf-8"?>
<formControlPr xmlns="http://schemas.microsoft.com/office/spreadsheetml/2009/9/main" objectType="CheckBox" fmlaLink="$P$88" lockText="1" noThreeD="1"/>
</file>

<file path=xl/ctrlProps/ctrlProp110.xml><?xml version="1.0" encoding="utf-8"?>
<formControlPr xmlns="http://schemas.microsoft.com/office/spreadsheetml/2009/9/main" objectType="CheckBox" fmlaLink="$P$89" lockText="1" noThreeD="1"/>
</file>

<file path=xl/ctrlProps/ctrlProp111.xml><?xml version="1.0" encoding="utf-8"?>
<formControlPr xmlns="http://schemas.microsoft.com/office/spreadsheetml/2009/9/main" objectType="CheckBox" fmlaLink="$P$90" lockText="1" noThreeD="1"/>
</file>

<file path=xl/ctrlProps/ctrlProp112.xml><?xml version="1.0" encoding="utf-8"?>
<formControlPr xmlns="http://schemas.microsoft.com/office/spreadsheetml/2009/9/main" objectType="CheckBox" fmlaLink="$P$91" lockText="1" noThreeD="1"/>
</file>

<file path=xl/ctrlProps/ctrlProp113.xml><?xml version="1.0" encoding="utf-8"?>
<formControlPr xmlns="http://schemas.microsoft.com/office/spreadsheetml/2009/9/main" objectType="CheckBox" fmlaLink="$P$92" lockText="1" noThreeD="1"/>
</file>

<file path=xl/ctrlProps/ctrlProp114.xml><?xml version="1.0" encoding="utf-8"?>
<formControlPr xmlns="http://schemas.microsoft.com/office/spreadsheetml/2009/9/main" objectType="CheckBox" fmlaLink="$P$93" lockText="1" noThreeD="1"/>
</file>

<file path=xl/ctrlProps/ctrlProp115.xml><?xml version="1.0" encoding="utf-8"?>
<formControlPr xmlns="http://schemas.microsoft.com/office/spreadsheetml/2009/9/main" objectType="CheckBox" fmlaLink="$P$94" lockText="1" noThreeD="1"/>
</file>

<file path=xl/ctrlProps/ctrlProp116.xml><?xml version="1.0" encoding="utf-8"?>
<formControlPr xmlns="http://schemas.microsoft.com/office/spreadsheetml/2009/9/main" objectType="CheckBox" fmlaLink="$P$95" lockText="1" noThreeD="1"/>
</file>

<file path=xl/ctrlProps/ctrlProp117.xml><?xml version="1.0" encoding="utf-8"?>
<formControlPr xmlns="http://schemas.microsoft.com/office/spreadsheetml/2009/9/main" objectType="CheckBox" fmlaLink="$P$96" lockText="1" noThreeD="1"/>
</file>

<file path=xl/ctrlProps/ctrlProp118.xml><?xml version="1.0" encoding="utf-8"?>
<formControlPr xmlns="http://schemas.microsoft.com/office/spreadsheetml/2009/9/main" objectType="CheckBox" fmlaLink="$P$97" lockText="1" noThreeD="1"/>
</file>

<file path=xl/ctrlProps/ctrlProp119.xml><?xml version="1.0" encoding="utf-8"?>
<formControlPr xmlns="http://schemas.microsoft.com/office/spreadsheetml/2009/9/main" objectType="CheckBox" fmlaLink="$P$98" lockText="1" noThreeD="1"/>
</file>

<file path=xl/ctrlProps/ctrlProp120.xml><?xml version="1.0" encoding="utf-8"?>
<formControlPr xmlns="http://schemas.microsoft.com/office/spreadsheetml/2009/9/main" objectType="CheckBox" fmlaLink="$P$99" lockText="1" noThreeD="1"/>
</file>

<file path=xl/ctrlProps/ctrlProp121.xml><?xml version="1.0" encoding="utf-8"?>
<formControlPr xmlns="http://schemas.microsoft.com/office/spreadsheetml/2009/9/main" objectType="CheckBox" fmlaLink="$P$100" lockText="1" noThreeD="1"/>
</file>

<file path=xl/ctrlProps/ctrlProp122.xml><?xml version="1.0" encoding="utf-8"?>
<formControlPr xmlns="http://schemas.microsoft.com/office/spreadsheetml/2009/9/main" objectType="CheckBox" fmlaLink="$P$101" lockText="1" noThreeD="1"/>
</file>

<file path=xl/ctrlProps/ctrlProp123.xml><?xml version="1.0" encoding="utf-8"?>
<formControlPr xmlns="http://schemas.microsoft.com/office/spreadsheetml/2009/9/main" objectType="CheckBox" fmlaLink="$P$102" lockText="1" noThreeD="1"/>
</file>

<file path=xl/ctrlProps/ctrlProp124.xml><?xml version="1.0" encoding="utf-8"?>
<formControlPr xmlns="http://schemas.microsoft.com/office/spreadsheetml/2009/9/main" objectType="CheckBox" fmlaLink="$P$103" lockText="1" noThreeD="1"/>
</file>

<file path=xl/ctrlProps/ctrlProp125.xml><?xml version="1.0" encoding="utf-8"?>
<formControlPr xmlns="http://schemas.microsoft.com/office/spreadsheetml/2009/9/main" objectType="CheckBox" fmlaLink="$P$104" lockText="1" noThreeD="1"/>
</file>

<file path=xl/ctrlProps/ctrlProp126.xml><?xml version="1.0" encoding="utf-8"?>
<formControlPr xmlns="http://schemas.microsoft.com/office/spreadsheetml/2009/9/main" objectType="CheckBox" fmlaLink="$P$105" lockText="1" noThreeD="1"/>
</file>

<file path=xl/ctrlProps/ctrlProp127.xml><?xml version="1.0" encoding="utf-8"?>
<formControlPr xmlns="http://schemas.microsoft.com/office/spreadsheetml/2009/9/main" objectType="CheckBox" fmlaLink="$P$106" lockText="1" noThreeD="1"/>
</file>

<file path=xl/ctrlProps/ctrlProp128.xml><?xml version="1.0" encoding="utf-8"?>
<formControlPr xmlns="http://schemas.microsoft.com/office/spreadsheetml/2009/9/main" objectType="CheckBox" fmlaLink="$P$107" lockText="1" noThreeD="1"/>
</file>

<file path=xl/ctrlProps/ctrlProp129.xml><?xml version="1.0" encoding="utf-8"?>
<formControlPr xmlns="http://schemas.microsoft.com/office/spreadsheetml/2009/9/main" objectType="CheckBox" fmlaLink="$P$108" lockText="1" noThreeD="1"/>
</file>

<file path=xl/ctrlProps/ctrlProp130.xml><?xml version="1.0" encoding="utf-8"?>
<formControlPr xmlns="http://schemas.microsoft.com/office/spreadsheetml/2009/9/main" objectType="CheckBox" fmlaLink="$P$109" lockText="1" noThreeD="1"/>
</file>

<file path=xl/ctrlProps/ctrlProp131.xml><?xml version="1.0" encoding="utf-8"?>
<formControlPr xmlns="http://schemas.microsoft.com/office/spreadsheetml/2009/9/main" objectType="CheckBox" fmlaLink="$P$110" lockText="1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Drop" dropStyle="combo" dx="22" fmlaLink="$P$126" fmlaRange="Options!$A$222:$A$226" noThreeD="1" sel="1" val="0"/>
</file>

<file path=xl/ctrlProps/ctrlProp134.xml><?xml version="1.0" encoding="utf-8"?>
<formControlPr xmlns="http://schemas.microsoft.com/office/spreadsheetml/2009/9/main" objectType="Label" lockText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Label" lockText="1"/>
</file>

<file path=xl/ctrlProps/ctrlProp137.xml><?xml version="1.0" encoding="utf-8"?>
<formControlPr xmlns="http://schemas.microsoft.com/office/spreadsheetml/2009/9/main" objectType="Label" lockText="1"/>
</file>

<file path=xl/ctrlProps/ctrlProp138.xml><?xml version="1.0" encoding="utf-8"?>
<formControlPr xmlns="http://schemas.microsoft.com/office/spreadsheetml/2009/9/main" objectType="Label" lockText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Label" lockText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Drop" dropStyle="combo" dx="22" fmlaLink="$P$114" fmlaRange="Options!$A$280:$A$287" noThreeD="1" sel="1" val="0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Label" lockText="1"/>
</file>

<file path=xl/ctrlProps/ctrlProp150.xml><?xml version="1.0" encoding="utf-8"?>
<formControlPr xmlns="http://schemas.microsoft.com/office/spreadsheetml/2009/9/main" objectType="Label" lockText="1"/>
</file>

<file path=xl/ctrlProps/ctrlProp151.xml><?xml version="1.0" encoding="utf-8"?>
<formControlPr xmlns="http://schemas.microsoft.com/office/spreadsheetml/2009/9/main" objectType="Label" lockText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Drop" dropLines="20" dropStyle="combo" dx="22" fmlaLink="$J$8" fmlaRange="Data!$D$2:$D$5000" noThreeD="1" sel="33" val="19"/>
</file>

<file path=xl/ctrlProps/ctrlProp1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7173" name="Group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0</xdr:rowOff>
        </xdr:from>
        <xdr:to>
          <xdr:col>3</xdr:col>
          <xdr:colOff>0</xdr:colOff>
          <xdr:row>5</xdr:row>
          <xdr:rowOff>85725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485775</xdr:colOff>
          <xdr:row>5</xdr:row>
          <xdr:rowOff>85725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7180" name="Group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Ethnicity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12</xdr:row>
          <xdr:rowOff>0</xdr:rowOff>
        </xdr:from>
        <xdr:to>
          <xdr:col>5</xdr:col>
          <xdr:colOff>371475</xdr:colOff>
          <xdr:row>13</xdr:row>
          <xdr:rowOff>0</xdr:rowOff>
        </xdr:to>
        <xdr:sp macro="" textlink="">
          <xdr:nvSpPr>
            <xdr:cNvPr id="7181" name="Drop Dow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Religious Affiliation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15</xdr:row>
          <xdr:rowOff>190500</xdr:rowOff>
        </xdr:from>
        <xdr:to>
          <xdr:col>5</xdr:col>
          <xdr:colOff>200025</xdr:colOff>
          <xdr:row>16</xdr:row>
          <xdr:rowOff>190500</xdr:rowOff>
        </xdr:to>
        <xdr:sp macro="" textlink="">
          <xdr:nvSpPr>
            <xdr:cNvPr id="7183" name="Drop Dow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7185" name="Group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7187" name="Drop Dow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7</xdr:col>
          <xdr:colOff>0</xdr:colOff>
          <xdr:row>65</xdr:row>
          <xdr:rowOff>0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0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0</xdr:rowOff>
        </xdr:from>
        <xdr:to>
          <xdr:col>3</xdr:col>
          <xdr:colOff>400050</xdr:colOff>
          <xdr:row>57</xdr:row>
          <xdr:rowOff>0</xdr:rowOff>
        </xdr:to>
        <xdr:sp macro="" textlink="">
          <xdr:nvSpPr>
            <xdr:cNvPr id="7191" name="Label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7192" name="Label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0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0</xdr:rowOff>
        </xdr:from>
        <xdr:to>
          <xdr:col>3</xdr:col>
          <xdr:colOff>400050</xdr:colOff>
          <xdr:row>61</xdr:row>
          <xdr:rowOff>0</xdr:rowOff>
        </xdr:to>
        <xdr:sp macro="" textlink="">
          <xdr:nvSpPr>
            <xdr:cNvPr id="7193" name="Label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6</xdr:col>
          <xdr:colOff>0</xdr:colOff>
          <xdr:row>57</xdr:row>
          <xdr:rowOff>0</xdr:rowOff>
        </xdr:to>
        <xdr:sp macro="" textlink="">
          <xdr:nvSpPr>
            <xdr:cNvPr id="7194" name="Drop Dow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180975</xdr:rowOff>
        </xdr:from>
        <xdr:to>
          <xdr:col>6</xdr:col>
          <xdr:colOff>0</xdr:colOff>
          <xdr:row>59</xdr:row>
          <xdr:rowOff>0</xdr:rowOff>
        </xdr:to>
        <xdr:sp macro="" textlink="">
          <xdr:nvSpPr>
            <xdr:cNvPr id="7195" name="Drop Dow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180975</xdr:rowOff>
        </xdr:from>
        <xdr:to>
          <xdr:col>6</xdr:col>
          <xdr:colOff>0</xdr:colOff>
          <xdr:row>61</xdr:row>
          <xdr:rowOff>0</xdr:rowOff>
        </xdr:to>
        <xdr:sp macro="" textlink="">
          <xdr:nvSpPr>
            <xdr:cNvPr id="7196" name="Drop Dow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0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3</xdr:col>
          <xdr:colOff>400050</xdr:colOff>
          <xdr:row>64</xdr:row>
          <xdr:rowOff>0</xdr:rowOff>
        </xdr:to>
        <xdr:sp macro="" textlink="">
          <xdr:nvSpPr>
            <xdr:cNvPr id="7197" name="Label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0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7198" name="Group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0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Diagnoses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0</xdr:rowOff>
        </xdr:from>
        <xdr:to>
          <xdr:col>9</xdr:col>
          <xdr:colOff>0</xdr:colOff>
          <xdr:row>72</xdr:row>
          <xdr:rowOff>180975</xdr:rowOff>
        </xdr:to>
        <xdr:sp macro="" textlink="">
          <xdr:nvSpPr>
            <xdr:cNvPr id="7199" name="Group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0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3</xdr:col>
          <xdr:colOff>400050</xdr:colOff>
          <xdr:row>68</xdr:row>
          <xdr:rowOff>0</xdr:rowOff>
        </xdr:to>
        <xdr:sp macro="" textlink="">
          <xdr:nvSpPr>
            <xdr:cNvPr id="7200" name="Label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0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69</xdr:row>
          <xdr:rowOff>9525</xdr:rowOff>
        </xdr:from>
        <xdr:to>
          <xdr:col>3</xdr:col>
          <xdr:colOff>0</xdr:colOff>
          <xdr:row>70</xdr:row>
          <xdr:rowOff>9525</xdr:rowOff>
        </xdr:to>
        <xdr:sp macro="" textlink="">
          <xdr:nvSpPr>
            <xdr:cNvPr id="7201" name="Label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0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3</xdr:col>
          <xdr:colOff>400050</xdr:colOff>
          <xdr:row>72</xdr:row>
          <xdr:rowOff>0</xdr:rowOff>
        </xdr:to>
        <xdr:sp macro="" textlink="">
          <xdr:nvSpPr>
            <xdr:cNvPr id="7202" name="Label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0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67</xdr:row>
          <xdr:rowOff>0</xdr:rowOff>
        </xdr:from>
        <xdr:to>
          <xdr:col>8</xdr:col>
          <xdr:colOff>0</xdr:colOff>
          <xdr:row>68</xdr:row>
          <xdr:rowOff>0</xdr:rowOff>
        </xdr:to>
        <xdr:sp macro="" textlink="">
          <xdr:nvSpPr>
            <xdr:cNvPr id="7203" name="Drop Dow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0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180975</xdr:rowOff>
        </xdr:from>
        <xdr:to>
          <xdr:col>8</xdr:col>
          <xdr:colOff>0</xdr:colOff>
          <xdr:row>70</xdr:row>
          <xdr:rowOff>0</xdr:rowOff>
        </xdr:to>
        <xdr:sp macro="" textlink="">
          <xdr:nvSpPr>
            <xdr:cNvPr id="7204" name="Drop Dow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0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180975</xdr:rowOff>
        </xdr:from>
        <xdr:to>
          <xdr:col>8</xdr:col>
          <xdr:colOff>0</xdr:colOff>
          <xdr:row>72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0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7206" name="Group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0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3</xdr:col>
          <xdr:colOff>400050</xdr:colOff>
          <xdr:row>76</xdr:row>
          <xdr:rowOff>28575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0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0</xdr:rowOff>
        </xdr:from>
        <xdr:to>
          <xdr:col>3</xdr:col>
          <xdr:colOff>200025</xdr:colOff>
          <xdr:row>77</xdr:row>
          <xdr:rowOff>28575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0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3</xdr:col>
          <xdr:colOff>400050</xdr:colOff>
          <xdr:row>78</xdr:row>
          <xdr:rowOff>28575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0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3</xdr:col>
          <xdr:colOff>400050</xdr:colOff>
          <xdr:row>79</xdr:row>
          <xdr:rowOff>28575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0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80</xdr:row>
          <xdr:rowOff>0</xdr:rowOff>
        </xdr:from>
        <xdr:to>
          <xdr:col>3</xdr:col>
          <xdr:colOff>0</xdr:colOff>
          <xdr:row>81</xdr:row>
          <xdr:rowOff>0</xdr:rowOff>
        </xdr:to>
        <xdr:sp macro="" textlink="">
          <xdr:nvSpPr>
            <xdr:cNvPr id="7213" name="Label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0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7214" name="Group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0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581025</xdr:colOff>
          <xdr:row>24</xdr:row>
          <xdr:rowOff>28575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581025</xdr:colOff>
          <xdr:row>25</xdr:row>
          <xdr:rowOff>28575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180975</xdr:rowOff>
        </xdr:from>
        <xdr:to>
          <xdr:col>3</xdr:col>
          <xdr:colOff>581025</xdr:colOff>
          <xdr:row>26</xdr:row>
          <xdr:rowOff>19050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180975</xdr:rowOff>
        </xdr:from>
        <xdr:to>
          <xdr:col>3</xdr:col>
          <xdr:colOff>581025</xdr:colOff>
          <xdr:row>27</xdr:row>
          <xdr:rowOff>19050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180975</xdr:rowOff>
        </xdr:from>
        <xdr:to>
          <xdr:col>3</xdr:col>
          <xdr:colOff>581025</xdr:colOff>
          <xdr:row>28</xdr:row>
          <xdr:rowOff>19050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171450</xdr:rowOff>
        </xdr:from>
        <xdr:to>
          <xdr:col>3</xdr:col>
          <xdr:colOff>581025</xdr:colOff>
          <xdr:row>29</xdr:row>
          <xdr:rowOff>9525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171450</xdr:rowOff>
        </xdr:from>
        <xdr:to>
          <xdr:col>3</xdr:col>
          <xdr:colOff>581025</xdr:colOff>
          <xdr:row>30</xdr:row>
          <xdr:rowOff>9525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171450</xdr:rowOff>
        </xdr:from>
        <xdr:to>
          <xdr:col>3</xdr:col>
          <xdr:colOff>581025</xdr:colOff>
          <xdr:row>31</xdr:row>
          <xdr:rowOff>9525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161925</xdr:rowOff>
        </xdr:from>
        <xdr:to>
          <xdr:col>3</xdr:col>
          <xdr:colOff>581025</xdr:colOff>
          <xdr:row>32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161925</xdr:rowOff>
        </xdr:from>
        <xdr:to>
          <xdr:col>3</xdr:col>
          <xdr:colOff>581025</xdr:colOff>
          <xdr:row>33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0</xdr:rowOff>
        </xdr:from>
        <xdr:to>
          <xdr:col>6</xdr:col>
          <xdr:colOff>114300</xdr:colOff>
          <xdr:row>24</xdr:row>
          <xdr:rowOff>28575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0</xdr:rowOff>
        </xdr:from>
        <xdr:to>
          <xdr:col>6</xdr:col>
          <xdr:colOff>114300</xdr:colOff>
          <xdr:row>25</xdr:row>
          <xdr:rowOff>28575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6</xdr:col>
          <xdr:colOff>114300</xdr:colOff>
          <xdr:row>26</xdr:row>
          <xdr:rowOff>19050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6</xdr:col>
          <xdr:colOff>114300</xdr:colOff>
          <xdr:row>27</xdr:row>
          <xdr:rowOff>19050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6</xdr:col>
          <xdr:colOff>114300</xdr:colOff>
          <xdr:row>28</xdr:row>
          <xdr:rowOff>19050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171450</xdr:rowOff>
        </xdr:from>
        <xdr:to>
          <xdr:col>6</xdr:col>
          <xdr:colOff>114300</xdr:colOff>
          <xdr:row>29</xdr:row>
          <xdr:rowOff>9525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171450</xdr:rowOff>
        </xdr:from>
        <xdr:to>
          <xdr:col>6</xdr:col>
          <xdr:colOff>114300</xdr:colOff>
          <xdr:row>30</xdr:row>
          <xdr:rowOff>9525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0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171450</xdr:rowOff>
        </xdr:from>
        <xdr:to>
          <xdr:col>6</xdr:col>
          <xdr:colOff>114300</xdr:colOff>
          <xdr:row>31</xdr:row>
          <xdr:rowOff>9525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0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161925</xdr:rowOff>
        </xdr:from>
        <xdr:to>
          <xdr:col>6</xdr:col>
          <xdr:colOff>114300</xdr:colOff>
          <xdr:row>32</xdr:row>
          <xdr:rowOff>0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161925</xdr:rowOff>
        </xdr:from>
        <xdr:to>
          <xdr:col>6</xdr:col>
          <xdr:colOff>114300</xdr:colOff>
          <xdr:row>33</xdr:row>
          <xdr:rowOff>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0</xdr:rowOff>
        </xdr:from>
        <xdr:to>
          <xdr:col>9</xdr:col>
          <xdr:colOff>0</xdr:colOff>
          <xdr:row>24</xdr:row>
          <xdr:rowOff>28575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180975</xdr:rowOff>
        </xdr:from>
        <xdr:to>
          <xdr:col>9</xdr:col>
          <xdr:colOff>0</xdr:colOff>
          <xdr:row>25</xdr:row>
          <xdr:rowOff>19050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180975</xdr:rowOff>
        </xdr:from>
        <xdr:to>
          <xdr:col>8</xdr:col>
          <xdr:colOff>200025</xdr:colOff>
          <xdr:row>26</xdr:row>
          <xdr:rowOff>19050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171450</xdr:rowOff>
        </xdr:from>
        <xdr:to>
          <xdr:col>8</xdr:col>
          <xdr:colOff>200025</xdr:colOff>
          <xdr:row>27</xdr:row>
          <xdr:rowOff>9525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171450</xdr:rowOff>
        </xdr:from>
        <xdr:to>
          <xdr:col>8</xdr:col>
          <xdr:colOff>200025</xdr:colOff>
          <xdr:row>28</xdr:row>
          <xdr:rowOff>9525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161925</xdr:rowOff>
        </xdr:from>
        <xdr:to>
          <xdr:col>8</xdr:col>
          <xdr:colOff>200025</xdr:colOff>
          <xdr:row>29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161925</xdr:rowOff>
        </xdr:from>
        <xdr:to>
          <xdr:col>8</xdr:col>
          <xdr:colOff>200025</xdr:colOff>
          <xdr:row>30</xdr:row>
          <xdr:rowOff>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84</xdr:row>
          <xdr:rowOff>0</xdr:rowOff>
        </xdr:from>
        <xdr:to>
          <xdr:col>8</xdr:col>
          <xdr:colOff>0</xdr:colOff>
          <xdr:row>104</xdr:row>
          <xdr:rowOff>0</xdr:rowOff>
        </xdr:to>
        <xdr:sp macro="" textlink="">
          <xdr:nvSpPr>
            <xdr:cNvPr id="7245" name="Group Box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0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Externally Perceived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85</xdr:row>
          <xdr:rowOff>0</xdr:rowOff>
        </xdr:from>
        <xdr:to>
          <xdr:col>3</xdr:col>
          <xdr:colOff>0</xdr:colOff>
          <xdr:row>86</xdr:row>
          <xdr:rowOff>0</xdr:rowOff>
        </xdr:to>
        <xdr:sp macro="" textlink="">
          <xdr:nvSpPr>
            <xdr:cNvPr id="7246" name="Label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0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Subject: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7</xdr:col>
          <xdr:colOff>0</xdr:colOff>
          <xdr:row>86</xdr:row>
          <xdr:rowOff>9525</xdr:rowOff>
        </xdr:to>
        <xdr:sp macro="" textlink="">
          <xdr:nvSpPr>
            <xdr:cNvPr id="7247" name="Drop Down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0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86</xdr:row>
          <xdr:rowOff>180975</xdr:rowOff>
        </xdr:from>
        <xdr:to>
          <xdr:col>2</xdr:col>
          <xdr:colOff>657225</xdr:colOff>
          <xdr:row>88</xdr:row>
          <xdr:rowOff>0</xdr:rowOff>
        </xdr:to>
        <xdr:sp macro="" textlink="">
          <xdr:nvSpPr>
            <xdr:cNvPr id="7248" name="Label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0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Describe: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91</xdr:row>
          <xdr:rowOff>0</xdr:rowOff>
        </xdr:from>
        <xdr:to>
          <xdr:col>3</xdr:col>
          <xdr:colOff>0</xdr:colOff>
          <xdr:row>92</xdr:row>
          <xdr:rowOff>0</xdr:rowOff>
        </xdr:to>
        <xdr:sp macro="" textlink="">
          <xdr:nvSpPr>
            <xdr:cNvPr id="7249" name="Label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0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Relationship: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7</xdr:col>
          <xdr:colOff>0</xdr:colOff>
          <xdr:row>92</xdr:row>
          <xdr:rowOff>9525</xdr:rowOff>
        </xdr:to>
        <xdr:sp macro="" textlink="">
          <xdr:nvSpPr>
            <xdr:cNvPr id="7250" name="Drop Down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0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96</xdr:row>
          <xdr:rowOff>0</xdr:rowOff>
        </xdr:from>
        <xdr:to>
          <xdr:col>3</xdr:col>
          <xdr:colOff>523875</xdr:colOff>
          <xdr:row>97</xdr:row>
          <xdr:rowOff>66675</xdr:rowOff>
        </xdr:to>
        <xdr:sp macro="" textlink="">
          <xdr:nvSpPr>
            <xdr:cNvPr id="7251" name="Label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0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Living or Deceased: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7</xdr:col>
          <xdr:colOff>0</xdr:colOff>
          <xdr:row>97</xdr:row>
          <xdr:rowOff>9525</xdr:rowOff>
        </xdr:to>
        <xdr:sp macro="" textlink="">
          <xdr:nvSpPr>
            <xdr:cNvPr id="7252" name="Drop Down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0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98</xdr:row>
          <xdr:rowOff>0</xdr:rowOff>
        </xdr:from>
        <xdr:to>
          <xdr:col>2</xdr:col>
          <xdr:colOff>657225</xdr:colOff>
          <xdr:row>98</xdr:row>
          <xdr:rowOff>180975</xdr:rowOff>
        </xdr:to>
        <xdr:sp macro="" textlink="">
          <xdr:nvSpPr>
            <xdr:cNvPr id="7253" name="Label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0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Location: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7</xdr:col>
          <xdr:colOff>0</xdr:colOff>
          <xdr:row>99</xdr:row>
          <xdr:rowOff>9525</xdr:rowOff>
        </xdr:to>
        <xdr:sp macro="" textlink="">
          <xdr:nvSpPr>
            <xdr:cNvPr id="7254" name="Drop Down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0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100</xdr:row>
          <xdr:rowOff>0</xdr:rowOff>
        </xdr:from>
        <xdr:to>
          <xdr:col>3</xdr:col>
          <xdr:colOff>0</xdr:colOff>
          <xdr:row>101</xdr:row>
          <xdr:rowOff>0</xdr:rowOff>
        </xdr:to>
        <xdr:sp macro="" textlink="">
          <xdr:nvSpPr>
            <xdr:cNvPr id="7255" name="Label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0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7</xdr:col>
          <xdr:colOff>0</xdr:colOff>
          <xdr:row>101</xdr:row>
          <xdr:rowOff>0</xdr:rowOff>
        </xdr:to>
        <xdr:sp macro="" textlink="">
          <xdr:nvSpPr>
            <xdr:cNvPr id="7256" name="Drop Dow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0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102</xdr:row>
          <xdr:rowOff>9525</xdr:rowOff>
        </xdr:from>
        <xdr:to>
          <xdr:col>3</xdr:col>
          <xdr:colOff>447675</xdr:colOff>
          <xdr:row>103</xdr:row>
          <xdr:rowOff>0</xdr:rowOff>
        </xdr:to>
        <xdr:sp macro="" textlink="">
          <xdr:nvSpPr>
            <xdr:cNvPr id="7257" name="Label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0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Patient Response: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0</xdr:rowOff>
        </xdr:from>
        <xdr:to>
          <xdr:col>7</xdr:col>
          <xdr:colOff>0</xdr:colOff>
          <xdr:row>103</xdr:row>
          <xdr:rowOff>9525</xdr:rowOff>
        </xdr:to>
        <xdr:sp macro="" textlink="">
          <xdr:nvSpPr>
            <xdr:cNvPr id="7258" name="Drop Dow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0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52</xdr:row>
          <xdr:rowOff>0</xdr:rowOff>
        </xdr:from>
        <xdr:to>
          <xdr:col>5</xdr:col>
          <xdr:colOff>0</xdr:colOff>
          <xdr:row>53</xdr:row>
          <xdr:rowOff>9525</xdr:rowOff>
        </xdr:to>
        <xdr:sp macro="" textlink="">
          <xdr:nvSpPr>
            <xdr:cNvPr id="7260" name="Drop Down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7</xdr:col>
          <xdr:colOff>0</xdr:colOff>
          <xdr:row>112</xdr:row>
          <xdr:rowOff>0</xdr:rowOff>
        </xdr:to>
        <xdr:sp macro="" textlink="">
          <xdr:nvSpPr>
            <xdr:cNvPr id="7261" name="Group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0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Internally Perceived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6</xdr:col>
          <xdr:colOff>361950</xdr:colOff>
          <xdr:row>107</xdr:row>
          <xdr:rowOff>28575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0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oneness, connectedness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107</xdr:row>
          <xdr:rowOff>0</xdr:rowOff>
        </xdr:from>
        <xdr:to>
          <xdr:col>6</xdr:col>
          <xdr:colOff>361950</xdr:colOff>
          <xdr:row>108</xdr:row>
          <xdr:rowOff>28575</xdr:rowOff>
        </xdr:to>
        <xdr:sp macro="" textlink="">
          <xdr:nvSpPr>
            <xdr:cNvPr id="7263" name="Check Box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0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fogiveness, peace, life satisfaction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108</xdr:row>
          <xdr:rowOff>19050</xdr:rowOff>
        </xdr:from>
        <xdr:to>
          <xdr:col>6</xdr:col>
          <xdr:colOff>361950</xdr:colOff>
          <xdr:row>109</xdr:row>
          <xdr:rowOff>0</xdr:rowOff>
        </xdr:to>
        <xdr:sp macro="" textlink="">
          <xdr:nvSpPr>
            <xdr:cNvPr id="7264" name="Check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0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the precense/connectedness with a higher being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6</xdr:col>
          <xdr:colOff>361950</xdr:colOff>
          <xdr:row>110</xdr:row>
          <xdr:rowOff>28575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0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Religion-specific figures/experiences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110</xdr:row>
          <xdr:rowOff>0</xdr:rowOff>
        </xdr:from>
        <xdr:to>
          <xdr:col>6</xdr:col>
          <xdr:colOff>361950</xdr:colOff>
          <xdr:row>111</xdr:row>
          <xdr:rowOff>28575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0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readiness to let go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112</xdr:row>
      <xdr:rowOff>182217</xdr:rowOff>
    </xdr:from>
    <xdr:to>
      <xdr:col>8</xdr:col>
      <xdr:colOff>1998</xdr:colOff>
      <xdr:row>131</xdr:row>
      <xdr:rowOff>1571</xdr:rowOff>
    </xdr:to>
    <xdr:sp macro="" textlink="">
      <xdr:nvSpPr>
        <xdr:cNvPr id="7268" name="Group Box 100" hidden="1">
          <a:extLst>
            <a:ext uri="{63B3BB69-23CF-44E3-9099-C40C66FF867C}">
              <a14:compatExt xmlns:a14="http://schemas.microsoft.com/office/drawing/2010/main" spid="_x0000_s7268"/>
            </a:ext>
            <a:ext uri="{FF2B5EF4-FFF2-40B4-BE49-F238E27FC236}">
              <a16:creationId xmlns:a16="http://schemas.microsoft.com/office/drawing/2014/main" id="{00000000-0008-0000-0000-00006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vertOverflow="clip" wrap="non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Experience Description</a:t>
          </a:r>
        </a:p>
      </xdr:txBody>
    </xdr:sp>
    <xdr:clientData/>
  </xdr:twoCellAnchor>
  <xdr:twoCellAnchor>
    <xdr:from>
      <xdr:col>2</xdr:col>
      <xdr:colOff>0</xdr:colOff>
      <xdr:row>113</xdr:row>
      <xdr:rowOff>182218</xdr:rowOff>
    </xdr:from>
    <xdr:to>
      <xdr:col>3</xdr:col>
      <xdr:colOff>322384</xdr:colOff>
      <xdr:row>115</xdr:row>
      <xdr:rowOff>124240</xdr:rowOff>
    </xdr:to>
    <xdr:sp macro="" textlink="">
      <xdr:nvSpPr>
        <xdr:cNvPr id="7269" name="Label 101" hidden="1">
          <a:extLst>
            <a:ext uri="{63B3BB69-23CF-44E3-9099-C40C66FF867C}">
              <a14:compatExt xmlns:a14="http://schemas.microsoft.com/office/drawing/2010/main" spid="_x0000_s7269"/>
            </a:ext>
            <a:ext uri="{FF2B5EF4-FFF2-40B4-BE49-F238E27FC236}">
              <a16:creationId xmlns:a16="http://schemas.microsoft.com/office/drawing/2014/main" id="{00000000-0008-0000-0000-000065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Days Before Death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(Start)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115</xdr:row>
          <xdr:rowOff>190500</xdr:rowOff>
        </xdr:from>
        <xdr:to>
          <xdr:col>3</xdr:col>
          <xdr:colOff>342900</xdr:colOff>
          <xdr:row>117</xdr:row>
          <xdr:rowOff>9525</xdr:rowOff>
        </xdr:to>
        <xdr:sp macro="" textlink="">
          <xdr:nvSpPr>
            <xdr:cNvPr id="7270" name="Label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0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Length of Episode: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116</xdr:row>
          <xdr:rowOff>19050</xdr:rowOff>
        </xdr:from>
        <xdr:to>
          <xdr:col>5</xdr:col>
          <xdr:colOff>352425</xdr:colOff>
          <xdr:row>117</xdr:row>
          <xdr:rowOff>38100</xdr:rowOff>
        </xdr:to>
        <xdr:sp macro="" textlink="">
          <xdr:nvSpPr>
            <xdr:cNvPr id="7278" name="Label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0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33131</xdr:colOff>
      <xdr:row>116</xdr:row>
      <xdr:rowOff>16564</xdr:rowOff>
    </xdr:from>
    <xdr:to>
      <xdr:col>7</xdr:col>
      <xdr:colOff>443949</xdr:colOff>
      <xdr:row>117</xdr:row>
      <xdr:rowOff>35614</xdr:rowOff>
    </xdr:to>
    <xdr:sp macro="" textlink="">
      <xdr:nvSpPr>
        <xdr:cNvPr id="7279" name="Label 111" hidden="1">
          <a:extLst>
            <a:ext uri="{63B3BB69-23CF-44E3-9099-C40C66FF867C}">
              <a14:compatExt xmlns:a14="http://schemas.microsoft.com/office/drawing/2010/main" spid="_x0000_s7279"/>
            </a:ext>
            <a:ext uri="{FF2B5EF4-FFF2-40B4-BE49-F238E27FC236}">
              <a16:creationId xmlns:a16="http://schemas.microsoft.com/office/drawing/2014/main" id="{00000000-0008-0000-0000-00006F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Hours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117</xdr:row>
          <xdr:rowOff>180975</xdr:rowOff>
        </xdr:from>
        <xdr:to>
          <xdr:col>4</xdr:col>
          <xdr:colOff>0</xdr:colOff>
          <xdr:row>118</xdr:row>
          <xdr:rowOff>190500</xdr:rowOff>
        </xdr:to>
        <xdr:sp macro="" textlink="">
          <xdr:nvSpPr>
            <xdr:cNvPr id="7280" name="Label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0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Episode Narrative: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194</xdr:row>
          <xdr:rowOff>76200</xdr:rowOff>
        </xdr:from>
        <xdr:to>
          <xdr:col>7</xdr:col>
          <xdr:colOff>228600</xdr:colOff>
          <xdr:row>197</xdr:row>
          <xdr:rowOff>76200</xdr:rowOff>
        </xdr:to>
        <xdr:sp macro="" textlink="">
          <xdr:nvSpPr>
            <xdr:cNvPr id="7288" name="Button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0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9</xdr:row>
          <xdr:rowOff>85725</xdr:rowOff>
        </xdr:from>
        <xdr:to>
          <xdr:col>11</xdr:col>
          <xdr:colOff>285750</xdr:colOff>
          <xdr:row>11</xdr:row>
          <xdr:rowOff>123825</xdr:rowOff>
        </xdr:to>
        <xdr:sp macro="" textlink="">
          <xdr:nvSpPr>
            <xdr:cNvPr id="7291" name="Button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0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123</xdr:row>
          <xdr:rowOff>180975</xdr:rowOff>
        </xdr:from>
        <xdr:to>
          <xdr:col>3</xdr:col>
          <xdr:colOff>0</xdr:colOff>
          <xdr:row>124</xdr:row>
          <xdr:rowOff>180975</xdr:rowOff>
        </xdr:to>
        <xdr:sp macro="" textlink="">
          <xdr:nvSpPr>
            <xdr:cNvPr id="7296" name="Label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0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 Notes: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190</xdr:row>
          <xdr:rowOff>0</xdr:rowOff>
        </xdr:from>
        <xdr:to>
          <xdr:col>6</xdr:col>
          <xdr:colOff>0</xdr:colOff>
          <xdr:row>193</xdr:row>
          <xdr:rowOff>0</xdr:rowOff>
        </xdr:to>
        <xdr:sp macro="" textlink="">
          <xdr:nvSpPr>
            <xdr:cNvPr id="7298" name="Group Box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0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Submitter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191</xdr:row>
          <xdr:rowOff>0</xdr:rowOff>
        </xdr:from>
        <xdr:to>
          <xdr:col>5</xdr:col>
          <xdr:colOff>419100</xdr:colOff>
          <xdr:row>192</xdr:row>
          <xdr:rowOff>9525</xdr:rowOff>
        </xdr:to>
        <xdr:sp macro="" textlink="">
          <xdr:nvSpPr>
            <xdr:cNvPr id="7299" name="Drop Down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0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93</xdr:row>
          <xdr:rowOff>0</xdr:rowOff>
        </xdr:from>
        <xdr:to>
          <xdr:col>3</xdr:col>
          <xdr:colOff>409575</xdr:colOff>
          <xdr:row>94</xdr:row>
          <xdr:rowOff>161925</xdr:rowOff>
        </xdr:to>
        <xdr:sp macro="" textlink="">
          <xdr:nvSpPr>
            <xdr:cNvPr id="7300" name="Label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0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If Other, Describe: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153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7302" name="Group Box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0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154</xdr:row>
          <xdr:rowOff>0</xdr:rowOff>
        </xdr:from>
        <xdr:to>
          <xdr:col>5</xdr:col>
          <xdr:colOff>66675</xdr:colOff>
          <xdr:row>155</xdr:row>
          <xdr:rowOff>0</xdr:rowOff>
        </xdr:to>
        <xdr:sp macro="" textlink="">
          <xdr:nvSpPr>
            <xdr:cNvPr id="7303" name="Drop Down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0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147</xdr:row>
          <xdr:rowOff>0</xdr:rowOff>
        </xdr:from>
        <xdr:to>
          <xdr:col>8</xdr:col>
          <xdr:colOff>0</xdr:colOff>
          <xdr:row>152</xdr:row>
          <xdr:rowOff>0</xdr:rowOff>
        </xdr:to>
        <xdr:sp macro="" textlink="">
          <xdr:nvSpPr>
            <xdr:cNvPr id="7304" name="Group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0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162</xdr:row>
          <xdr:rowOff>0</xdr:rowOff>
        </xdr:from>
        <xdr:to>
          <xdr:col>3</xdr:col>
          <xdr:colOff>400050</xdr:colOff>
          <xdr:row>163</xdr:row>
          <xdr:rowOff>0</xdr:rowOff>
        </xdr:to>
        <xdr:sp macro="" textlink="">
          <xdr:nvSpPr>
            <xdr:cNvPr id="7305" name="Label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0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164</xdr:row>
          <xdr:rowOff>0</xdr:rowOff>
        </xdr:from>
        <xdr:to>
          <xdr:col>3</xdr:col>
          <xdr:colOff>0</xdr:colOff>
          <xdr:row>165</xdr:row>
          <xdr:rowOff>0</xdr:rowOff>
        </xdr:to>
        <xdr:sp macro="" textlink="">
          <xdr:nvSpPr>
            <xdr:cNvPr id="7306" name="Label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0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166</xdr:row>
          <xdr:rowOff>0</xdr:rowOff>
        </xdr:from>
        <xdr:to>
          <xdr:col>3</xdr:col>
          <xdr:colOff>400050</xdr:colOff>
          <xdr:row>167</xdr:row>
          <xdr:rowOff>0</xdr:rowOff>
        </xdr:to>
        <xdr:sp macro="" textlink="">
          <xdr:nvSpPr>
            <xdr:cNvPr id="7307" name="Label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0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7308" name="Drop Down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0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180975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7309" name="Drop Down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0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180975</xdr:rowOff>
        </xdr:from>
        <xdr:to>
          <xdr:col>6</xdr:col>
          <xdr:colOff>0</xdr:colOff>
          <xdr:row>167</xdr:row>
          <xdr:rowOff>0</xdr:rowOff>
        </xdr:to>
        <xdr:sp macro="" textlink="">
          <xdr:nvSpPr>
            <xdr:cNvPr id="7310" name="Drop Down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0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174</xdr:row>
          <xdr:rowOff>0</xdr:rowOff>
        </xdr:from>
        <xdr:to>
          <xdr:col>8</xdr:col>
          <xdr:colOff>0</xdr:colOff>
          <xdr:row>175</xdr:row>
          <xdr:rowOff>0</xdr:rowOff>
        </xdr:to>
        <xdr:sp macro="" textlink="">
          <xdr:nvSpPr>
            <xdr:cNvPr id="7314" name="Drop Down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0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177</xdr:row>
          <xdr:rowOff>180975</xdr:rowOff>
        </xdr:from>
        <xdr:to>
          <xdr:col>8</xdr:col>
          <xdr:colOff>0</xdr:colOff>
          <xdr:row>179</xdr:row>
          <xdr:rowOff>0</xdr:rowOff>
        </xdr:to>
        <xdr:sp macro="" textlink="">
          <xdr:nvSpPr>
            <xdr:cNvPr id="7315" name="Drop Down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0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182</xdr:row>
          <xdr:rowOff>0</xdr:rowOff>
        </xdr:from>
        <xdr:to>
          <xdr:col>3</xdr:col>
          <xdr:colOff>400050</xdr:colOff>
          <xdr:row>183</xdr:row>
          <xdr:rowOff>28575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0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183</xdr:row>
          <xdr:rowOff>0</xdr:rowOff>
        </xdr:from>
        <xdr:to>
          <xdr:col>3</xdr:col>
          <xdr:colOff>200025</xdr:colOff>
          <xdr:row>184</xdr:row>
          <xdr:rowOff>28575</xdr:rowOff>
        </xdr:to>
        <xdr:sp macro="" textlink="">
          <xdr:nvSpPr>
            <xdr:cNvPr id="7317" name="Check Box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0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184</xdr:row>
          <xdr:rowOff>0</xdr:rowOff>
        </xdr:from>
        <xdr:to>
          <xdr:col>3</xdr:col>
          <xdr:colOff>400050</xdr:colOff>
          <xdr:row>185</xdr:row>
          <xdr:rowOff>28575</xdr:rowOff>
        </xdr:to>
        <xdr:sp macro="" textlink="">
          <xdr:nvSpPr>
            <xdr:cNvPr id="7318" name="Check Box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0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185</xdr:row>
          <xdr:rowOff>0</xdr:rowOff>
        </xdr:from>
        <xdr:to>
          <xdr:col>3</xdr:col>
          <xdr:colOff>400050</xdr:colOff>
          <xdr:row>186</xdr:row>
          <xdr:rowOff>28575</xdr:rowOff>
        </xdr:to>
        <xdr:sp macro="" textlink="">
          <xdr:nvSpPr>
            <xdr:cNvPr id="7319" name="Check Box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0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187</xdr:row>
          <xdr:rowOff>0</xdr:rowOff>
        </xdr:from>
        <xdr:to>
          <xdr:col>3</xdr:col>
          <xdr:colOff>0</xdr:colOff>
          <xdr:row>188</xdr:row>
          <xdr:rowOff>0</xdr:rowOff>
        </xdr:to>
        <xdr:sp macro="" textlink="">
          <xdr:nvSpPr>
            <xdr:cNvPr id="7320" name="Label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0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134</xdr:row>
          <xdr:rowOff>0</xdr:rowOff>
        </xdr:from>
        <xdr:to>
          <xdr:col>9</xdr:col>
          <xdr:colOff>0</xdr:colOff>
          <xdr:row>146</xdr:row>
          <xdr:rowOff>0</xdr:rowOff>
        </xdr:to>
        <xdr:sp macro="" textlink="">
          <xdr:nvSpPr>
            <xdr:cNvPr id="7321" name="Group Box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0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135</xdr:row>
          <xdr:rowOff>0</xdr:rowOff>
        </xdr:from>
        <xdr:to>
          <xdr:col>3</xdr:col>
          <xdr:colOff>581025</xdr:colOff>
          <xdr:row>136</xdr:row>
          <xdr:rowOff>28575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0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136</xdr:row>
          <xdr:rowOff>0</xdr:rowOff>
        </xdr:from>
        <xdr:to>
          <xdr:col>3</xdr:col>
          <xdr:colOff>581025</xdr:colOff>
          <xdr:row>137</xdr:row>
          <xdr:rowOff>28575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0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136</xdr:row>
          <xdr:rowOff>180975</xdr:rowOff>
        </xdr:from>
        <xdr:to>
          <xdr:col>3</xdr:col>
          <xdr:colOff>581025</xdr:colOff>
          <xdr:row>138</xdr:row>
          <xdr:rowOff>19050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0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137</xdr:row>
          <xdr:rowOff>180975</xdr:rowOff>
        </xdr:from>
        <xdr:to>
          <xdr:col>3</xdr:col>
          <xdr:colOff>581025</xdr:colOff>
          <xdr:row>139</xdr:row>
          <xdr:rowOff>19050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0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138</xdr:row>
          <xdr:rowOff>180975</xdr:rowOff>
        </xdr:from>
        <xdr:to>
          <xdr:col>3</xdr:col>
          <xdr:colOff>581025</xdr:colOff>
          <xdr:row>140</xdr:row>
          <xdr:rowOff>19050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0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139</xdr:row>
          <xdr:rowOff>171450</xdr:rowOff>
        </xdr:from>
        <xdr:to>
          <xdr:col>3</xdr:col>
          <xdr:colOff>581025</xdr:colOff>
          <xdr:row>141</xdr:row>
          <xdr:rowOff>9525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0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140</xdr:row>
          <xdr:rowOff>171450</xdr:rowOff>
        </xdr:from>
        <xdr:to>
          <xdr:col>3</xdr:col>
          <xdr:colOff>581025</xdr:colOff>
          <xdr:row>142</xdr:row>
          <xdr:rowOff>9525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0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141</xdr:row>
          <xdr:rowOff>171450</xdr:rowOff>
        </xdr:from>
        <xdr:to>
          <xdr:col>3</xdr:col>
          <xdr:colOff>581025</xdr:colOff>
          <xdr:row>143</xdr:row>
          <xdr:rowOff>9525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0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142</xdr:row>
          <xdr:rowOff>161925</xdr:rowOff>
        </xdr:from>
        <xdr:to>
          <xdr:col>3</xdr:col>
          <xdr:colOff>581025</xdr:colOff>
          <xdr:row>144</xdr:row>
          <xdr:rowOff>0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0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143</xdr:row>
          <xdr:rowOff>161925</xdr:rowOff>
        </xdr:from>
        <xdr:to>
          <xdr:col>3</xdr:col>
          <xdr:colOff>581025</xdr:colOff>
          <xdr:row>145</xdr:row>
          <xdr:rowOff>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0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135</xdr:row>
          <xdr:rowOff>0</xdr:rowOff>
        </xdr:from>
        <xdr:to>
          <xdr:col>6</xdr:col>
          <xdr:colOff>114300</xdr:colOff>
          <xdr:row>136</xdr:row>
          <xdr:rowOff>28575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0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136</xdr:row>
          <xdr:rowOff>0</xdr:rowOff>
        </xdr:from>
        <xdr:to>
          <xdr:col>6</xdr:col>
          <xdr:colOff>114300</xdr:colOff>
          <xdr:row>137</xdr:row>
          <xdr:rowOff>28575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0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136</xdr:row>
          <xdr:rowOff>180975</xdr:rowOff>
        </xdr:from>
        <xdr:to>
          <xdr:col>6</xdr:col>
          <xdr:colOff>114300</xdr:colOff>
          <xdr:row>138</xdr:row>
          <xdr:rowOff>19050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0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137</xdr:row>
          <xdr:rowOff>180975</xdr:rowOff>
        </xdr:from>
        <xdr:to>
          <xdr:col>6</xdr:col>
          <xdr:colOff>114300</xdr:colOff>
          <xdr:row>139</xdr:row>
          <xdr:rowOff>19050</xdr:rowOff>
        </xdr:to>
        <xdr:sp macro="" textlink="">
          <xdr:nvSpPr>
            <xdr:cNvPr id="7335" name="Check Box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0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138</xdr:row>
          <xdr:rowOff>180975</xdr:rowOff>
        </xdr:from>
        <xdr:to>
          <xdr:col>6</xdr:col>
          <xdr:colOff>114300</xdr:colOff>
          <xdr:row>140</xdr:row>
          <xdr:rowOff>19050</xdr:rowOff>
        </xdr:to>
        <xdr:sp macro="" textlink="">
          <xdr:nvSpPr>
            <xdr:cNvPr id="7336" name="Check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0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139</xdr:row>
          <xdr:rowOff>171450</xdr:rowOff>
        </xdr:from>
        <xdr:to>
          <xdr:col>6</xdr:col>
          <xdr:colOff>114300</xdr:colOff>
          <xdr:row>141</xdr:row>
          <xdr:rowOff>9525</xdr:rowOff>
        </xdr:to>
        <xdr:sp macro="" textlink="">
          <xdr:nvSpPr>
            <xdr:cNvPr id="7337" name="Check Box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0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140</xdr:row>
          <xdr:rowOff>171450</xdr:rowOff>
        </xdr:from>
        <xdr:to>
          <xdr:col>6</xdr:col>
          <xdr:colOff>114300</xdr:colOff>
          <xdr:row>142</xdr:row>
          <xdr:rowOff>9525</xdr:rowOff>
        </xdr:to>
        <xdr:sp macro="" textlink="">
          <xdr:nvSpPr>
            <xdr:cNvPr id="7338" name="Check Box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0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141</xdr:row>
          <xdr:rowOff>171450</xdr:rowOff>
        </xdr:from>
        <xdr:to>
          <xdr:col>6</xdr:col>
          <xdr:colOff>114300</xdr:colOff>
          <xdr:row>143</xdr:row>
          <xdr:rowOff>9525</xdr:rowOff>
        </xdr:to>
        <xdr:sp macro="" textlink="">
          <xdr:nvSpPr>
            <xdr:cNvPr id="7339" name="Check Box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0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142</xdr:row>
          <xdr:rowOff>161925</xdr:rowOff>
        </xdr:from>
        <xdr:to>
          <xdr:col>6</xdr:col>
          <xdr:colOff>114300</xdr:colOff>
          <xdr:row>144</xdr:row>
          <xdr:rowOff>0</xdr:rowOff>
        </xdr:to>
        <xdr:sp macro="" textlink="">
          <xdr:nvSpPr>
            <xdr:cNvPr id="7340" name="Check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0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143</xdr:row>
          <xdr:rowOff>161925</xdr:rowOff>
        </xdr:from>
        <xdr:to>
          <xdr:col>6</xdr:col>
          <xdr:colOff>114300</xdr:colOff>
          <xdr:row>145</xdr:row>
          <xdr:rowOff>0</xdr:rowOff>
        </xdr:to>
        <xdr:sp macro="" textlink="">
          <xdr:nvSpPr>
            <xdr:cNvPr id="7341" name="Check Box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0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135</xdr:row>
          <xdr:rowOff>0</xdr:rowOff>
        </xdr:from>
        <xdr:to>
          <xdr:col>9</xdr:col>
          <xdr:colOff>0</xdr:colOff>
          <xdr:row>136</xdr:row>
          <xdr:rowOff>28575</xdr:rowOff>
        </xdr:to>
        <xdr:sp macro="" textlink="">
          <xdr:nvSpPr>
            <xdr:cNvPr id="7342" name="Check Box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0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135</xdr:row>
          <xdr:rowOff>180975</xdr:rowOff>
        </xdr:from>
        <xdr:to>
          <xdr:col>9</xdr:col>
          <xdr:colOff>0</xdr:colOff>
          <xdr:row>137</xdr:row>
          <xdr:rowOff>19050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0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136</xdr:row>
          <xdr:rowOff>180975</xdr:rowOff>
        </xdr:from>
        <xdr:to>
          <xdr:col>8</xdr:col>
          <xdr:colOff>200025</xdr:colOff>
          <xdr:row>138</xdr:row>
          <xdr:rowOff>19050</xdr:rowOff>
        </xdr:to>
        <xdr:sp macro="" textlink="">
          <xdr:nvSpPr>
            <xdr:cNvPr id="7344" name="Check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0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137</xdr:row>
          <xdr:rowOff>171450</xdr:rowOff>
        </xdr:from>
        <xdr:to>
          <xdr:col>8</xdr:col>
          <xdr:colOff>200025</xdr:colOff>
          <xdr:row>139</xdr:row>
          <xdr:rowOff>9525</xdr:rowOff>
        </xdr:to>
        <xdr:sp macro="" textlink="">
          <xdr:nvSpPr>
            <xdr:cNvPr id="7345" name="Check Box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0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138</xdr:row>
          <xdr:rowOff>171450</xdr:rowOff>
        </xdr:from>
        <xdr:to>
          <xdr:col>8</xdr:col>
          <xdr:colOff>200025</xdr:colOff>
          <xdr:row>140</xdr:row>
          <xdr:rowOff>9525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0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139</xdr:row>
          <xdr:rowOff>161925</xdr:rowOff>
        </xdr:from>
        <xdr:to>
          <xdr:col>8</xdr:col>
          <xdr:colOff>200025</xdr:colOff>
          <xdr:row>141</xdr:row>
          <xdr:rowOff>0</xdr:rowOff>
        </xdr:to>
        <xdr:sp macro="" textlink="">
          <xdr:nvSpPr>
            <xdr:cNvPr id="7347" name="Check Box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0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140</xdr:row>
          <xdr:rowOff>161925</xdr:rowOff>
        </xdr:from>
        <xdr:to>
          <xdr:col>8</xdr:col>
          <xdr:colOff>200025</xdr:colOff>
          <xdr:row>142</xdr:row>
          <xdr:rowOff>0</xdr:rowOff>
        </xdr:to>
        <xdr:sp macro="" textlink="">
          <xdr:nvSpPr>
            <xdr:cNvPr id="7348" name="Check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0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173</xdr:row>
          <xdr:rowOff>0</xdr:rowOff>
        </xdr:from>
        <xdr:to>
          <xdr:col>9</xdr:col>
          <xdr:colOff>0</xdr:colOff>
          <xdr:row>180</xdr:row>
          <xdr:rowOff>0</xdr:rowOff>
        </xdr:to>
        <xdr:sp macro="" textlink="">
          <xdr:nvSpPr>
            <xdr:cNvPr id="7349" name="Group Box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0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175</xdr:row>
          <xdr:rowOff>180975</xdr:rowOff>
        </xdr:from>
        <xdr:to>
          <xdr:col>8</xdr:col>
          <xdr:colOff>0</xdr:colOff>
          <xdr:row>177</xdr:row>
          <xdr:rowOff>0</xdr:rowOff>
        </xdr:to>
        <xdr:sp macro="" textlink="">
          <xdr:nvSpPr>
            <xdr:cNvPr id="7350" name="Drop Down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0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161</xdr:row>
          <xdr:rowOff>0</xdr:rowOff>
        </xdr:from>
        <xdr:to>
          <xdr:col>7</xdr:col>
          <xdr:colOff>0</xdr:colOff>
          <xdr:row>172</xdr:row>
          <xdr:rowOff>0</xdr:rowOff>
        </xdr:to>
        <xdr:sp macro="" textlink="">
          <xdr:nvSpPr>
            <xdr:cNvPr id="7352" name="Group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0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169</xdr:row>
          <xdr:rowOff>0</xdr:rowOff>
        </xdr:from>
        <xdr:to>
          <xdr:col>3</xdr:col>
          <xdr:colOff>400050</xdr:colOff>
          <xdr:row>170</xdr:row>
          <xdr:rowOff>0</xdr:rowOff>
        </xdr:to>
        <xdr:sp macro="" textlink="">
          <xdr:nvSpPr>
            <xdr:cNvPr id="7353" name="Label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0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181</xdr:row>
          <xdr:rowOff>0</xdr:rowOff>
        </xdr:from>
        <xdr:to>
          <xdr:col>5</xdr:col>
          <xdr:colOff>0</xdr:colOff>
          <xdr:row>188</xdr:row>
          <xdr:rowOff>0</xdr:rowOff>
        </xdr:to>
        <xdr:sp macro="" textlink="">
          <xdr:nvSpPr>
            <xdr:cNvPr id="7354" name="Group Box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0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367" name="Group Box 19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000-0000C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Patient Demographics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10</xdr:col>
          <xdr:colOff>0</xdr:colOff>
          <xdr:row>82</xdr:row>
          <xdr:rowOff>0</xdr:rowOff>
        </xdr:to>
        <xdr:sp macro="" textlink="">
          <xdr:nvSpPr>
            <xdr:cNvPr id="7368" name="Group Box 20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000-0000C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9</xdr:col>
          <xdr:colOff>0</xdr:colOff>
          <xdr:row>132</xdr:row>
          <xdr:rowOff>0</xdr:rowOff>
        </xdr:to>
        <xdr:sp macro="" textlink="">
          <xdr:nvSpPr>
            <xdr:cNvPr id="7369" name="Group Box 201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000-0000C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133</xdr:row>
          <xdr:rowOff>0</xdr:rowOff>
        </xdr:from>
        <xdr:to>
          <xdr:col>10</xdr:col>
          <xdr:colOff>0</xdr:colOff>
          <xdr:row>189</xdr:row>
          <xdr:rowOff>0</xdr:rowOff>
        </xdr:to>
        <xdr:sp macro="" textlink="">
          <xdr:nvSpPr>
            <xdr:cNvPr id="7370" name="Group Box 202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000-0000C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Post-Experience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174</xdr:row>
          <xdr:rowOff>0</xdr:rowOff>
        </xdr:from>
        <xdr:to>
          <xdr:col>3</xdr:col>
          <xdr:colOff>400050</xdr:colOff>
          <xdr:row>175</xdr:row>
          <xdr:rowOff>0</xdr:rowOff>
        </xdr:to>
        <xdr:sp macro="" textlink="">
          <xdr:nvSpPr>
            <xdr:cNvPr id="7374" name="Label 206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000-0000C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176</xdr:row>
          <xdr:rowOff>9525</xdr:rowOff>
        </xdr:from>
        <xdr:to>
          <xdr:col>3</xdr:col>
          <xdr:colOff>0</xdr:colOff>
          <xdr:row>177</xdr:row>
          <xdr:rowOff>9525</xdr:rowOff>
        </xdr:to>
        <xdr:sp macro="" textlink="">
          <xdr:nvSpPr>
            <xdr:cNvPr id="7375" name="Label 207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000-0000C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178</xdr:row>
          <xdr:rowOff>0</xdr:rowOff>
        </xdr:from>
        <xdr:to>
          <xdr:col>3</xdr:col>
          <xdr:colOff>400050</xdr:colOff>
          <xdr:row>179</xdr:row>
          <xdr:rowOff>0</xdr:rowOff>
        </xdr:to>
        <xdr:sp macro="" textlink="">
          <xdr:nvSpPr>
            <xdr:cNvPr id="7376" name="Label 208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000-0000D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158</xdr:row>
          <xdr:rowOff>0</xdr:rowOff>
        </xdr:from>
        <xdr:to>
          <xdr:col>5</xdr:col>
          <xdr:colOff>266700</xdr:colOff>
          <xdr:row>159</xdr:row>
          <xdr:rowOff>0</xdr:rowOff>
        </xdr:to>
        <xdr:sp macro="" textlink="">
          <xdr:nvSpPr>
            <xdr:cNvPr id="7384" name="Drop Down 21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0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7385" name="Group Box 217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000-0000D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0</xdr:rowOff>
        </xdr:from>
        <xdr:to>
          <xdr:col>8</xdr:col>
          <xdr:colOff>0</xdr:colOff>
          <xdr:row>131</xdr:row>
          <xdr:rowOff>0</xdr:rowOff>
        </xdr:to>
        <xdr:sp macro="" textlink="">
          <xdr:nvSpPr>
            <xdr:cNvPr id="7386" name="Group Box 218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00000000-0008-0000-0000-0000D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Experience Descirption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114</xdr:row>
          <xdr:rowOff>0</xdr:rowOff>
        </xdr:from>
        <xdr:to>
          <xdr:col>3</xdr:col>
          <xdr:colOff>342900</xdr:colOff>
          <xdr:row>115</xdr:row>
          <xdr:rowOff>9525</xdr:rowOff>
        </xdr:to>
        <xdr:sp macro="" textlink="">
          <xdr:nvSpPr>
            <xdr:cNvPr id="7387" name="Label 219" hidden="1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00000000-0008-0000-0000-0000D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 Before Death: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114</xdr:row>
          <xdr:rowOff>19050</xdr:rowOff>
        </xdr:from>
        <xdr:to>
          <xdr:col>5</xdr:col>
          <xdr:colOff>352425</xdr:colOff>
          <xdr:row>115</xdr:row>
          <xdr:rowOff>38100</xdr:rowOff>
        </xdr:to>
        <xdr:sp macro="" textlink="">
          <xdr:nvSpPr>
            <xdr:cNvPr id="7388" name="Label 220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0000000-0008-0000-0000-0000D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116</xdr:row>
          <xdr:rowOff>19050</xdr:rowOff>
        </xdr:from>
        <xdr:to>
          <xdr:col>7</xdr:col>
          <xdr:colOff>333375</xdr:colOff>
          <xdr:row>117</xdr:row>
          <xdr:rowOff>38100</xdr:rowOff>
        </xdr:to>
        <xdr:sp macro="" textlink="">
          <xdr:nvSpPr>
            <xdr:cNvPr id="7389" name="Label 221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0000000-0008-0000-0000-0000D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157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7390" name="Group Box 222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000-0000D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</xdr:row>
          <xdr:rowOff>66675</xdr:rowOff>
        </xdr:from>
        <xdr:to>
          <xdr:col>11</xdr:col>
          <xdr:colOff>323850</xdr:colOff>
          <xdr:row>4</xdr:row>
          <xdr:rowOff>76200</xdr:rowOff>
        </xdr:to>
        <xdr:sp macro="" textlink="">
          <xdr:nvSpPr>
            <xdr:cNvPr id="7391" name="Drop Down 223" hidden="1">
              <a:extLst>
                <a:ext uri="{63B3BB69-23CF-44E3-9099-C40C66FF867C}">
                  <a14:compatExt spid="_x0000_s7391"/>
                </a:ext>
                <a:ext uri="{FF2B5EF4-FFF2-40B4-BE49-F238E27FC236}">
                  <a16:creationId xmlns:a16="http://schemas.microsoft.com/office/drawing/2014/main" id="{00000000-0008-0000-0000-0000D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4</xdr:row>
          <xdr:rowOff>142875</xdr:rowOff>
        </xdr:from>
        <xdr:to>
          <xdr:col>11</xdr:col>
          <xdr:colOff>314325</xdr:colOff>
          <xdr:row>6</xdr:row>
          <xdr:rowOff>142875</xdr:rowOff>
        </xdr:to>
        <xdr:sp macro="" textlink="">
          <xdr:nvSpPr>
            <xdr:cNvPr id="7392" name="Button 224" hidden="1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00000000-0008-0000-0000-0000E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Existing Record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51153-7182-4CC6-A17F-1C6A9404E815}">
  <sheetPr codeName="Sheet6"/>
  <dimension ref="B1:AB193"/>
  <sheetViews>
    <sheetView showGridLines="0" tabSelected="1" zoomScaleNormal="100" workbookViewId="0">
      <selection activeCell="N18" sqref="N18"/>
    </sheetView>
  </sheetViews>
  <sheetFormatPr defaultColWidth="9.140625" defaultRowHeight="15" x14ac:dyDescent="0.25"/>
  <cols>
    <col min="1" max="8" width="9.140625" customWidth="1"/>
    <col min="14" max="14" width="55.85546875" bestFit="1" customWidth="1"/>
    <col min="15" max="16" width="28.7109375" customWidth="1"/>
    <col min="17" max="17" width="25.28515625" customWidth="1"/>
    <col min="18" max="18" width="9.140625" style="5"/>
    <col min="21" max="21" width="9.140625" style="4"/>
  </cols>
  <sheetData>
    <row r="1" spans="2:28" x14ac:dyDescent="0.25">
      <c r="N1" s="4" t="s">
        <v>147</v>
      </c>
      <c r="O1" s="4">
        <v>0</v>
      </c>
      <c r="P1" s="4">
        <v>0</v>
      </c>
      <c r="Q1" s="4">
        <f>P1</f>
        <v>0</v>
      </c>
      <c r="U1" s="4">
        <v>0</v>
      </c>
      <c r="AB1">
        <v>1</v>
      </c>
    </row>
    <row r="2" spans="2:28" x14ac:dyDescent="0.25">
      <c r="B2" s="6"/>
      <c r="C2" s="6"/>
      <c r="D2" s="6"/>
      <c r="E2" s="6"/>
      <c r="F2" s="6"/>
      <c r="G2" s="6"/>
      <c r="N2" s="4" t="s">
        <v>148</v>
      </c>
      <c r="O2" s="4" t="s">
        <v>266</v>
      </c>
      <c r="P2" s="4" t="s">
        <v>266</v>
      </c>
      <c r="Q2" s="4">
        <f>IFERROR(IF(P1=0,0,INDEX(Options!A3:A4,Report!P1)),"")</f>
        <v>0</v>
      </c>
      <c r="R2" s="4">
        <f>IFERROR(VLOOKUP(Q42,Options!$A$172:$B$176,2,FALSE),0)</f>
        <v>0</v>
      </c>
    </row>
    <row r="3" spans="2:28" x14ac:dyDescent="0.25">
      <c r="B3" s="6"/>
      <c r="C3" s="6"/>
      <c r="D3" s="6"/>
      <c r="E3" s="6"/>
      <c r="F3" s="6"/>
      <c r="G3" s="6"/>
      <c r="N3" s="4" t="s">
        <v>154</v>
      </c>
      <c r="O3" s="4">
        <v>0</v>
      </c>
      <c r="P3" s="4">
        <v>0</v>
      </c>
      <c r="Q3" s="4">
        <f>D9</f>
        <v>0</v>
      </c>
      <c r="R3" s="4">
        <f>IFERROR(VLOOKUP(Q44,Options!$A$178:$B$183,2,FALSE),0)</f>
        <v>0</v>
      </c>
      <c r="U3" s="4">
        <v>0</v>
      </c>
    </row>
    <row r="4" spans="2:28" x14ac:dyDescent="0.25">
      <c r="B4" s="6"/>
      <c r="C4" s="7"/>
      <c r="D4" s="7"/>
      <c r="E4" s="7"/>
      <c r="F4" s="6"/>
      <c r="G4" s="6"/>
      <c r="I4" s="14"/>
      <c r="J4" s="14"/>
      <c r="K4" s="14"/>
      <c r="L4" s="14"/>
      <c r="N4" s="4" t="s">
        <v>259</v>
      </c>
      <c r="O4" s="4">
        <v>1</v>
      </c>
      <c r="P4" s="4">
        <v>1</v>
      </c>
      <c r="Q4" s="4">
        <f>P4</f>
        <v>1</v>
      </c>
      <c r="R4" s="4">
        <f>IFERROR(VLOOKUP(Q46,Options!$A$186:$B$191,2,FALSE),0)</f>
        <v>0</v>
      </c>
      <c r="U4" s="4">
        <v>0</v>
      </c>
    </row>
    <row r="5" spans="2:28" x14ac:dyDescent="0.25">
      <c r="B5" s="6"/>
      <c r="C5" s="7"/>
      <c r="D5" s="7"/>
      <c r="E5" s="7"/>
      <c r="F5" s="6"/>
      <c r="G5" s="6"/>
      <c r="I5" s="14"/>
      <c r="J5" s="14"/>
      <c r="K5" s="14"/>
      <c r="L5" s="14"/>
      <c r="N5" s="4" t="s">
        <v>155</v>
      </c>
      <c r="O5" s="4" t="s">
        <v>266</v>
      </c>
      <c r="P5" s="4" t="s">
        <v>266</v>
      </c>
      <c r="Q5" s="4">
        <f>IFERROR(INDEX(Options!A121:A129,Report!P4),"error_result")</f>
        <v>0</v>
      </c>
      <c r="R5" s="4">
        <f>IFERROR(VLOOKUP(Q117,Options!$A$173:$B$176,2,FALSE),0)</f>
        <v>0</v>
      </c>
      <c r="U5" s="4" t="b">
        <v>0</v>
      </c>
    </row>
    <row r="6" spans="2:28" x14ac:dyDescent="0.25">
      <c r="B6" s="6"/>
      <c r="C6" s="7"/>
      <c r="D6" s="7"/>
      <c r="E6" s="7"/>
      <c r="F6" s="6"/>
      <c r="G6" s="6"/>
      <c r="I6" s="14"/>
      <c r="J6" s="14"/>
      <c r="K6" s="14"/>
      <c r="L6" s="14"/>
      <c r="N6" s="4" t="s">
        <v>260</v>
      </c>
      <c r="O6" s="4">
        <v>1</v>
      </c>
      <c r="P6" s="4">
        <v>1</v>
      </c>
      <c r="Q6" s="4">
        <f>P6</f>
        <v>1</v>
      </c>
      <c r="R6" s="4">
        <f>IFERROR(VLOOKUP(Q119,Options!$A$179:$B$183,2,FALSE),0)</f>
        <v>0</v>
      </c>
      <c r="U6" s="4" t="b">
        <v>0</v>
      </c>
    </row>
    <row r="7" spans="2:28" x14ac:dyDescent="0.25">
      <c r="B7" s="6"/>
      <c r="C7" s="6"/>
      <c r="D7" s="6"/>
      <c r="E7" s="6"/>
      <c r="F7" s="6"/>
      <c r="G7" s="6"/>
      <c r="I7" s="14"/>
      <c r="J7" s="14"/>
      <c r="K7" s="14"/>
      <c r="L7" s="14"/>
      <c r="N7" s="4" t="s">
        <v>156</v>
      </c>
      <c r="O7" s="4" t="s">
        <v>266</v>
      </c>
      <c r="P7" s="4" t="s">
        <v>266</v>
      </c>
      <c r="Q7" s="4">
        <f>IFERROR(INDEX(Options!A132:A148,Report!P6),"error_result")</f>
        <v>0</v>
      </c>
      <c r="R7" s="4">
        <f>IFERROR(VLOOKUP(Q121,Options!$A$186:$B$191,2,FALSE),0)</f>
        <v>0</v>
      </c>
      <c r="U7" s="4" t="b">
        <v>0</v>
      </c>
    </row>
    <row r="8" spans="2:28" x14ac:dyDescent="0.25">
      <c r="B8" s="6"/>
      <c r="C8" s="7"/>
      <c r="D8" s="7"/>
      <c r="E8" s="7"/>
      <c r="F8" s="7"/>
      <c r="G8" s="6"/>
      <c r="J8" s="4">
        <v>33</v>
      </c>
      <c r="N8" s="4" t="s">
        <v>157</v>
      </c>
      <c r="O8" s="4" t="b">
        <v>0</v>
      </c>
      <c r="P8" s="4" t="b">
        <v>0</v>
      </c>
      <c r="Q8" s="4" t="b">
        <f>P8</f>
        <v>0</v>
      </c>
      <c r="U8" s="4" t="b">
        <v>0</v>
      </c>
    </row>
    <row r="9" spans="2:28" x14ac:dyDescent="0.25">
      <c r="B9" s="6"/>
      <c r="C9" s="7"/>
      <c r="D9" s="13"/>
      <c r="E9" s="7"/>
      <c r="F9" s="7"/>
      <c r="G9" s="6"/>
      <c r="N9" s="4" t="s">
        <v>158</v>
      </c>
      <c r="O9" s="4" t="b">
        <v>0</v>
      </c>
      <c r="P9" s="4" t="b">
        <v>0</v>
      </c>
      <c r="Q9" s="4" t="b">
        <f t="shared" ref="Q9:Q34" si="0">P9</f>
        <v>0</v>
      </c>
      <c r="U9" s="4" t="b">
        <v>0</v>
      </c>
    </row>
    <row r="10" spans="2:28" x14ac:dyDescent="0.25">
      <c r="B10" s="6"/>
      <c r="C10" s="7"/>
      <c r="D10" s="7"/>
      <c r="E10" s="7"/>
      <c r="F10" s="7"/>
      <c r="G10" s="6"/>
      <c r="I10" s="14"/>
      <c r="J10" s="14"/>
      <c r="K10" s="14"/>
      <c r="L10" s="14"/>
      <c r="N10" s="4" t="s">
        <v>159</v>
      </c>
      <c r="O10" s="4" t="b">
        <v>0</v>
      </c>
      <c r="P10" s="4" t="b">
        <v>0</v>
      </c>
      <c r="Q10" s="4" t="b">
        <f t="shared" si="0"/>
        <v>0</v>
      </c>
      <c r="U10" s="4" t="b">
        <v>0</v>
      </c>
    </row>
    <row r="11" spans="2:28" x14ac:dyDescent="0.25">
      <c r="B11" s="6"/>
      <c r="C11" s="6"/>
      <c r="D11" s="6"/>
      <c r="E11" s="6"/>
      <c r="F11" s="6"/>
      <c r="G11" s="6"/>
      <c r="I11" s="14"/>
      <c r="J11" s="14"/>
      <c r="K11" s="14"/>
      <c r="L11" s="14"/>
      <c r="N11" s="4" t="s">
        <v>160</v>
      </c>
      <c r="O11" s="4" t="b">
        <v>0</v>
      </c>
      <c r="P11" s="4" t="b">
        <v>0</v>
      </c>
      <c r="Q11" s="4" t="b">
        <f>P11</f>
        <v>0</v>
      </c>
      <c r="U11" s="4" t="b">
        <v>0</v>
      </c>
    </row>
    <row r="12" spans="2:28" x14ac:dyDescent="0.25">
      <c r="B12" s="6"/>
      <c r="C12" s="7"/>
      <c r="D12" s="7"/>
      <c r="E12" s="7"/>
      <c r="F12" s="7"/>
      <c r="G12" s="6"/>
      <c r="I12" s="14"/>
      <c r="J12" s="14"/>
      <c r="K12" s="14"/>
      <c r="L12" s="14"/>
      <c r="N12" s="4" t="s">
        <v>161</v>
      </c>
      <c r="O12" s="4" t="b">
        <v>0</v>
      </c>
      <c r="P12" s="4" t="b">
        <v>0</v>
      </c>
      <c r="Q12" s="4" t="b">
        <f t="shared" si="0"/>
        <v>0</v>
      </c>
      <c r="U12" s="4" t="b">
        <v>0</v>
      </c>
    </row>
    <row r="13" spans="2:28" x14ac:dyDescent="0.25">
      <c r="B13" s="6"/>
      <c r="C13" s="7"/>
      <c r="D13" s="7"/>
      <c r="E13" s="7"/>
      <c r="F13" s="7"/>
      <c r="G13" s="6"/>
      <c r="N13" s="4" t="s">
        <v>162</v>
      </c>
      <c r="O13" s="4" t="b">
        <v>0</v>
      </c>
      <c r="P13" s="4" t="b">
        <v>0</v>
      </c>
      <c r="Q13" s="4" t="b">
        <f t="shared" si="0"/>
        <v>0</v>
      </c>
      <c r="U13" s="4" t="b">
        <v>0</v>
      </c>
    </row>
    <row r="14" spans="2:28" x14ac:dyDescent="0.25">
      <c r="B14" s="6"/>
      <c r="C14" s="7"/>
      <c r="D14" s="7"/>
      <c r="E14" s="7"/>
      <c r="F14" s="7"/>
      <c r="G14" s="6"/>
      <c r="N14" s="4" t="s">
        <v>163</v>
      </c>
      <c r="O14" s="4" t="b">
        <v>0</v>
      </c>
      <c r="P14" s="4" t="b">
        <v>0</v>
      </c>
      <c r="Q14" s="4" t="b">
        <f t="shared" si="0"/>
        <v>0</v>
      </c>
      <c r="U14" s="4" t="b">
        <v>0</v>
      </c>
    </row>
    <row r="15" spans="2:28" x14ac:dyDescent="0.25">
      <c r="B15" s="6"/>
      <c r="C15" s="6"/>
      <c r="D15" s="6"/>
      <c r="E15" s="6"/>
      <c r="F15" s="6"/>
      <c r="G15" s="6"/>
      <c r="N15" s="4" t="s">
        <v>164</v>
      </c>
      <c r="O15" s="4" t="b">
        <v>0</v>
      </c>
      <c r="P15" s="4" t="b">
        <v>0</v>
      </c>
      <c r="Q15" s="4" t="b">
        <f t="shared" si="0"/>
        <v>0</v>
      </c>
      <c r="U15" s="4" t="b">
        <v>0</v>
      </c>
    </row>
    <row r="16" spans="2:28" x14ac:dyDescent="0.25">
      <c r="B16" s="6"/>
      <c r="C16" s="7"/>
      <c r="D16" s="7"/>
      <c r="E16" s="7"/>
      <c r="F16" s="7"/>
      <c r="G16" s="6"/>
      <c r="N16" s="4" t="s">
        <v>165</v>
      </c>
      <c r="O16" s="4" t="b">
        <v>0</v>
      </c>
      <c r="P16" s="4" t="b">
        <v>0</v>
      </c>
      <c r="Q16" s="4" t="b">
        <f t="shared" si="0"/>
        <v>0</v>
      </c>
      <c r="U16" s="4" t="b">
        <v>0</v>
      </c>
    </row>
    <row r="17" spans="2:21" x14ac:dyDescent="0.25">
      <c r="B17" s="6"/>
      <c r="C17" s="7"/>
      <c r="D17" s="7"/>
      <c r="E17" s="7"/>
      <c r="F17" s="7"/>
      <c r="G17" s="6"/>
      <c r="N17" s="4" t="s">
        <v>166</v>
      </c>
      <c r="O17" s="4" t="b">
        <v>0</v>
      </c>
      <c r="P17" s="4" t="b">
        <v>0</v>
      </c>
      <c r="Q17" s="4" t="b">
        <f t="shared" si="0"/>
        <v>0</v>
      </c>
      <c r="U17" s="4" t="b">
        <v>0</v>
      </c>
    </row>
    <row r="18" spans="2:21" x14ac:dyDescent="0.25">
      <c r="B18" s="6"/>
      <c r="C18" s="7"/>
      <c r="D18" s="7"/>
      <c r="E18" s="7"/>
      <c r="F18" s="7"/>
      <c r="G18" s="6"/>
      <c r="N18" s="4" t="s">
        <v>167</v>
      </c>
      <c r="O18" s="4" t="b">
        <v>0</v>
      </c>
      <c r="P18" s="4" t="b">
        <v>0</v>
      </c>
      <c r="Q18" s="4" t="b">
        <f t="shared" si="0"/>
        <v>0</v>
      </c>
      <c r="U18" s="4" t="b">
        <v>0</v>
      </c>
    </row>
    <row r="19" spans="2:21" x14ac:dyDescent="0.25">
      <c r="B19" s="6"/>
      <c r="C19" s="6"/>
      <c r="D19" s="6"/>
      <c r="E19" s="6"/>
      <c r="F19" s="6"/>
      <c r="G19" s="6"/>
      <c r="N19" s="4" t="s">
        <v>168</v>
      </c>
      <c r="O19" s="4" t="b">
        <v>0</v>
      </c>
      <c r="P19" s="4" t="b">
        <v>0</v>
      </c>
      <c r="Q19" s="4" t="b">
        <f t="shared" si="0"/>
        <v>0</v>
      </c>
      <c r="U19" s="4" t="b">
        <v>0</v>
      </c>
    </row>
    <row r="20" spans="2:21" x14ac:dyDescent="0.25">
      <c r="N20" s="4" t="s">
        <v>169</v>
      </c>
      <c r="O20" s="4" t="b">
        <v>0</v>
      </c>
      <c r="P20" s="4" t="b">
        <v>0</v>
      </c>
      <c r="Q20" s="4" t="b">
        <f t="shared" si="0"/>
        <v>0</v>
      </c>
      <c r="U20" s="4" t="b">
        <v>0</v>
      </c>
    </row>
    <row r="21" spans="2:21" x14ac:dyDescent="0.25">
      <c r="N21" s="4" t="s">
        <v>170</v>
      </c>
      <c r="O21" s="4" t="b">
        <v>0</v>
      </c>
      <c r="P21" s="4" t="b">
        <v>0</v>
      </c>
      <c r="Q21" s="4" t="b">
        <f t="shared" si="0"/>
        <v>0</v>
      </c>
      <c r="U21" s="4" t="b">
        <v>0</v>
      </c>
    </row>
    <row r="22" spans="2:21" x14ac:dyDescent="0.25">
      <c r="B22" s="6"/>
      <c r="C22" s="6"/>
      <c r="D22" s="6"/>
      <c r="E22" s="6"/>
      <c r="F22" s="6"/>
      <c r="G22" s="6"/>
      <c r="H22" s="6"/>
      <c r="I22" s="6"/>
      <c r="J22" s="6"/>
      <c r="N22" s="4" t="s">
        <v>171</v>
      </c>
      <c r="O22" s="4" t="b">
        <v>0</v>
      </c>
      <c r="P22" s="4" t="b">
        <v>0</v>
      </c>
      <c r="Q22" s="4" t="b">
        <f t="shared" si="0"/>
        <v>0</v>
      </c>
      <c r="U22" s="4" t="b">
        <v>0</v>
      </c>
    </row>
    <row r="23" spans="2:21" x14ac:dyDescent="0.25">
      <c r="B23" s="6"/>
      <c r="C23" s="7"/>
      <c r="D23" s="7"/>
      <c r="E23" s="7"/>
      <c r="F23" s="7"/>
      <c r="G23" s="7"/>
      <c r="H23" s="7"/>
      <c r="I23" s="7"/>
      <c r="J23" s="6"/>
      <c r="N23" s="4" t="s">
        <v>172</v>
      </c>
      <c r="O23" s="4" t="b">
        <v>0</v>
      </c>
      <c r="P23" s="4" t="b">
        <v>0</v>
      </c>
      <c r="Q23" s="4" t="b">
        <f t="shared" si="0"/>
        <v>0</v>
      </c>
      <c r="U23" s="4" t="b">
        <v>0</v>
      </c>
    </row>
    <row r="24" spans="2:21" x14ac:dyDescent="0.25">
      <c r="B24" s="6"/>
      <c r="C24" s="7"/>
      <c r="D24" s="7"/>
      <c r="E24" s="7"/>
      <c r="F24" s="7"/>
      <c r="G24" s="7"/>
      <c r="H24" s="7"/>
      <c r="I24" s="7"/>
      <c r="J24" s="6"/>
      <c r="N24" s="4" t="s">
        <v>173</v>
      </c>
      <c r="O24" s="4" t="b">
        <v>0</v>
      </c>
      <c r="P24" s="4" t="b">
        <v>0</v>
      </c>
      <c r="Q24" s="4" t="b">
        <f t="shared" si="0"/>
        <v>0</v>
      </c>
      <c r="U24" s="4" t="b">
        <v>0</v>
      </c>
    </row>
    <row r="25" spans="2:21" x14ac:dyDescent="0.25">
      <c r="B25" s="6"/>
      <c r="C25" s="7"/>
      <c r="D25" s="7"/>
      <c r="E25" s="7"/>
      <c r="F25" s="7"/>
      <c r="G25" s="7"/>
      <c r="H25" s="7"/>
      <c r="I25" s="7"/>
      <c r="J25" s="6"/>
      <c r="N25" s="4" t="s">
        <v>174</v>
      </c>
      <c r="O25" s="4" t="b">
        <v>0</v>
      </c>
      <c r="P25" s="4" t="b">
        <v>0</v>
      </c>
      <c r="Q25" s="4" t="b">
        <f t="shared" si="0"/>
        <v>0</v>
      </c>
      <c r="U25" s="4" t="b">
        <v>0</v>
      </c>
    </row>
    <row r="26" spans="2:21" x14ac:dyDescent="0.25">
      <c r="B26" s="6"/>
      <c r="C26" s="7"/>
      <c r="D26" s="7"/>
      <c r="E26" s="7"/>
      <c r="F26" s="7"/>
      <c r="G26" s="7"/>
      <c r="H26" s="7"/>
      <c r="I26" s="7"/>
      <c r="J26" s="6"/>
      <c r="N26" s="4" t="s">
        <v>175</v>
      </c>
      <c r="O26" s="4" t="b">
        <v>0</v>
      </c>
      <c r="P26" s="4" t="b">
        <v>0</v>
      </c>
      <c r="Q26" s="4" t="b">
        <f t="shared" si="0"/>
        <v>0</v>
      </c>
      <c r="U26" s="4" t="b">
        <v>0</v>
      </c>
    </row>
    <row r="27" spans="2:21" x14ac:dyDescent="0.25">
      <c r="B27" s="6"/>
      <c r="C27" s="7"/>
      <c r="D27" s="7"/>
      <c r="E27" s="7"/>
      <c r="F27" s="7"/>
      <c r="G27" s="7"/>
      <c r="H27" s="7"/>
      <c r="I27" s="7"/>
      <c r="J27" s="6"/>
      <c r="N27" s="4" t="s">
        <v>176</v>
      </c>
      <c r="O27" s="4" t="b">
        <v>0</v>
      </c>
      <c r="P27" s="4" t="b">
        <v>0</v>
      </c>
      <c r="Q27" s="4" t="b">
        <f t="shared" si="0"/>
        <v>0</v>
      </c>
      <c r="U27" s="4" t="b">
        <v>0</v>
      </c>
    </row>
    <row r="28" spans="2:21" x14ac:dyDescent="0.25">
      <c r="B28" s="6"/>
      <c r="C28" s="7"/>
      <c r="D28" s="7"/>
      <c r="E28" s="7"/>
      <c r="F28" s="7"/>
      <c r="G28" s="7"/>
      <c r="H28" s="7"/>
      <c r="I28" s="7"/>
      <c r="J28" s="6"/>
      <c r="N28" s="4" t="s">
        <v>177</v>
      </c>
      <c r="O28" s="4" t="b">
        <v>0</v>
      </c>
      <c r="P28" s="4" t="b">
        <v>0</v>
      </c>
      <c r="Q28" s="4" t="b">
        <f t="shared" si="0"/>
        <v>0</v>
      </c>
      <c r="U28" s="4" t="b">
        <v>0</v>
      </c>
    </row>
    <row r="29" spans="2:21" x14ac:dyDescent="0.25">
      <c r="B29" s="6"/>
      <c r="C29" s="7"/>
      <c r="D29" s="7"/>
      <c r="E29" s="7"/>
      <c r="F29" s="7"/>
      <c r="G29" s="7"/>
      <c r="H29" s="7"/>
      <c r="I29" s="7"/>
      <c r="J29" s="6"/>
      <c r="N29" s="4" t="s">
        <v>178</v>
      </c>
      <c r="O29" s="4" t="b">
        <v>0</v>
      </c>
      <c r="P29" s="4" t="b">
        <v>0</v>
      </c>
      <c r="Q29" s="4" t="b">
        <f t="shared" si="0"/>
        <v>0</v>
      </c>
      <c r="U29" s="4" t="b">
        <v>0</v>
      </c>
    </row>
    <row r="30" spans="2:21" x14ac:dyDescent="0.25">
      <c r="B30" s="6"/>
      <c r="C30" s="7"/>
      <c r="D30" s="7"/>
      <c r="E30" s="7"/>
      <c r="F30" s="7"/>
      <c r="G30" s="7"/>
      <c r="H30" s="7"/>
      <c r="I30" s="7"/>
      <c r="J30" s="6"/>
      <c r="N30" s="4" t="s">
        <v>179</v>
      </c>
      <c r="O30" s="4" t="b">
        <v>0</v>
      </c>
      <c r="P30" s="4" t="b">
        <v>0</v>
      </c>
      <c r="Q30" s="4" t="b">
        <f t="shared" si="0"/>
        <v>0</v>
      </c>
      <c r="U30" s="4" t="b">
        <v>0</v>
      </c>
    </row>
    <row r="31" spans="2:21" x14ac:dyDescent="0.25">
      <c r="B31" s="6"/>
      <c r="C31" s="7"/>
      <c r="D31" s="7"/>
      <c r="E31" s="7"/>
      <c r="F31" s="7"/>
      <c r="G31" s="7"/>
      <c r="H31" s="7"/>
      <c r="I31" s="7"/>
      <c r="J31" s="6"/>
      <c r="N31" s="4" t="s">
        <v>180</v>
      </c>
      <c r="O31" s="4" t="b">
        <v>0</v>
      </c>
      <c r="P31" s="4" t="b">
        <v>0</v>
      </c>
      <c r="Q31" s="4" t="b">
        <f t="shared" si="0"/>
        <v>0</v>
      </c>
      <c r="U31" s="4" t="b">
        <v>0</v>
      </c>
    </row>
    <row r="32" spans="2:21" x14ac:dyDescent="0.25">
      <c r="B32" s="6"/>
      <c r="C32" s="7"/>
      <c r="D32" s="7"/>
      <c r="E32" s="7"/>
      <c r="F32" s="7"/>
      <c r="G32" s="7"/>
      <c r="H32" s="7"/>
      <c r="I32" s="7"/>
      <c r="J32" s="6"/>
      <c r="N32" s="4" t="s">
        <v>181</v>
      </c>
      <c r="O32" s="4" t="b">
        <v>0</v>
      </c>
      <c r="P32" s="4" t="b">
        <v>0</v>
      </c>
      <c r="Q32" s="4" t="b">
        <f t="shared" si="0"/>
        <v>0</v>
      </c>
      <c r="U32" s="4">
        <v>0</v>
      </c>
    </row>
    <row r="33" spans="2:21" x14ac:dyDescent="0.25">
      <c r="B33" s="6"/>
      <c r="C33" s="7"/>
      <c r="D33" s="7"/>
      <c r="E33" s="7"/>
      <c r="F33" s="7"/>
      <c r="G33" s="7"/>
      <c r="H33" s="7"/>
      <c r="I33" s="7"/>
      <c r="J33" s="6"/>
      <c r="N33" s="4" t="s">
        <v>182</v>
      </c>
      <c r="O33" s="4" t="b">
        <v>0</v>
      </c>
      <c r="P33" s="4" t="b">
        <v>0</v>
      </c>
      <c r="Q33" s="4" t="b">
        <f t="shared" si="0"/>
        <v>0</v>
      </c>
      <c r="U33" s="4">
        <v>0</v>
      </c>
    </row>
    <row r="34" spans="2:21" x14ac:dyDescent="0.25">
      <c r="B34" s="6"/>
      <c r="C34" s="7"/>
      <c r="D34" s="7"/>
      <c r="E34" s="7"/>
      <c r="F34" s="7"/>
      <c r="G34" s="7"/>
      <c r="H34" s="7"/>
      <c r="I34" s="7"/>
      <c r="J34" s="6"/>
      <c r="N34" s="4" t="s">
        <v>276</v>
      </c>
      <c r="O34" s="4" t="b">
        <v>0</v>
      </c>
      <c r="P34" s="4" t="b">
        <v>0</v>
      </c>
      <c r="Q34" s="4" t="b">
        <f t="shared" si="0"/>
        <v>0</v>
      </c>
      <c r="U34" s="4">
        <v>0</v>
      </c>
    </row>
    <row r="35" spans="2:21" x14ac:dyDescent="0.25">
      <c r="B35" s="6"/>
      <c r="C35" s="6"/>
      <c r="D35" s="6"/>
      <c r="E35" s="6"/>
      <c r="F35" s="6"/>
      <c r="G35" s="6"/>
      <c r="H35" s="6"/>
      <c r="I35" s="6"/>
      <c r="J35" s="6"/>
      <c r="N35" s="4" t="s">
        <v>261</v>
      </c>
      <c r="O35" s="4">
        <v>1</v>
      </c>
      <c r="P35" s="4">
        <v>1</v>
      </c>
      <c r="Q35" s="4">
        <f>P35</f>
        <v>1</v>
      </c>
      <c r="U35" s="4">
        <v>0</v>
      </c>
    </row>
    <row r="36" spans="2:21" x14ac:dyDescent="0.25">
      <c r="B36" s="6"/>
      <c r="C36" s="7"/>
      <c r="D36" s="7"/>
      <c r="E36" s="7"/>
      <c r="F36" s="7"/>
      <c r="G36" s="7"/>
      <c r="H36" s="7"/>
      <c r="I36" s="6"/>
      <c r="J36" s="6"/>
      <c r="N36" s="4" t="s">
        <v>183</v>
      </c>
      <c r="O36" s="4" t="s">
        <v>266</v>
      </c>
      <c r="P36" s="4" t="s">
        <v>266</v>
      </c>
      <c r="Q36" s="4">
        <f>IFERROR(INDEX(Options!$A$153:$A$159,Report!P35),"error_result")</f>
        <v>0</v>
      </c>
      <c r="U36" s="4">
        <v>0</v>
      </c>
    </row>
    <row r="37" spans="2:21" x14ac:dyDescent="0.25">
      <c r="B37" s="6"/>
      <c r="C37" s="15"/>
      <c r="D37" s="15"/>
      <c r="E37" s="15"/>
      <c r="F37" s="15"/>
      <c r="G37" s="15"/>
      <c r="H37" s="15"/>
      <c r="I37" s="6"/>
      <c r="J37" s="6"/>
      <c r="N37" s="4" t="s">
        <v>184</v>
      </c>
      <c r="O37" s="4">
        <v>0</v>
      </c>
      <c r="P37" s="4">
        <v>0</v>
      </c>
      <c r="Q37" s="4">
        <f>C37</f>
        <v>0</v>
      </c>
      <c r="U37" s="4">
        <v>0</v>
      </c>
    </row>
    <row r="38" spans="2:21" x14ac:dyDescent="0.25">
      <c r="B38" s="6"/>
      <c r="C38" s="15"/>
      <c r="D38" s="15"/>
      <c r="E38" s="15"/>
      <c r="F38" s="15"/>
      <c r="G38" s="15"/>
      <c r="H38" s="15"/>
      <c r="I38" s="6"/>
      <c r="J38" s="6"/>
      <c r="N38" s="4" t="s">
        <v>185</v>
      </c>
      <c r="O38" s="4">
        <v>0</v>
      </c>
      <c r="P38" s="4">
        <v>0</v>
      </c>
      <c r="Q38" s="4">
        <f>C43</f>
        <v>0</v>
      </c>
      <c r="U38" s="4">
        <v>0</v>
      </c>
    </row>
    <row r="39" spans="2:21" x14ac:dyDescent="0.25">
      <c r="B39" s="6"/>
      <c r="C39" s="15"/>
      <c r="D39" s="15"/>
      <c r="E39" s="15"/>
      <c r="F39" s="15"/>
      <c r="G39" s="15"/>
      <c r="H39" s="15"/>
      <c r="I39" s="6"/>
      <c r="J39" s="6"/>
      <c r="N39" s="4" t="s">
        <v>262</v>
      </c>
      <c r="O39" s="4">
        <v>1</v>
      </c>
      <c r="P39" s="4">
        <v>1</v>
      </c>
      <c r="Q39" s="4">
        <f>P39</f>
        <v>1</v>
      </c>
      <c r="U39" s="4">
        <v>0</v>
      </c>
    </row>
    <row r="40" spans="2:21" x14ac:dyDescent="0.25">
      <c r="B40" s="6"/>
      <c r="C40" s="15"/>
      <c r="D40" s="15"/>
      <c r="E40" s="15"/>
      <c r="F40" s="15"/>
      <c r="G40" s="15"/>
      <c r="H40" s="15"/>
      <c r="I40" s="6"/>
      <c r="J40" s="6"/>
      <c r="N40" s="4" t="s">
        <v>186</v>
      </c>
      <c r="O40" s="4" t="s">
        <v>266</v>
      </c>
      <c r="P40" s="4" t="s">
        <v>266</v>
      </c>
      <c r="Q40" s="4">
        <f>IFERROR(INDEX(Options!A280:A287,Report!P39),"error_result")</f>
        <v>0</v>
      </c>
      <c r="U40" s="4">
        <v>0</v>
      </c>
    </row>
    <row r="41" spans="2:21" x14ac:dyDescent="0.25">
      <c r="B41" s="6"/>
      <c r="C41" s="6"/>
      <c r="D41" s="6"/>
      <c r="E41" s="6"/>
      <c r="F41" s="6"/>
      <c r="G41" s="6"/>
      <c r="H41" s="6"/>
      <c r="I41" s="6"/>
      <c r="J41" s="6"/>
      <c r="N41" s="4" t="s">
        <v>263</v>
      </c>
      <c r="O41" s="4">
        <v>1</v>
      </c>
      <c r="P41" s="4">
        <v>1</v>
      </c>
      <c r="Q41" s="4">
        <f>P41</f>
        <v>1</v>
      </c>
      <c r="U41" s="4">
        <v>0</v>
      </c>
    </row>
    <row r="42" spans="2:21" x14ac:dyDescent="0.25">
      <c r="B42" s="6"/>
      <c r="C42" s="7"/>
      <c r="D42" s="7"/>
      <c r="E42" s="7"/>
      <c r="F42" s="7"/>
      <c r="G42" s="7"/>
      <c r="H42" s="7"/>
      <c r="I42" s="6"/>
      <c r="J42" s="6"/>
      <c r="N42" s="4" t="s">
        <v>187</v>
      </c>
      <c r="O42" s="4" t="s">
        <v>266</v>
      </c>
      <c r="P42" s="4" t="s">
        <v>266</v>
      </c>
      <c r="Q42" s="4">
        <f>IFERROR(INDEX(Options!$A$172:$A$176,Report!P41),"error_result")</f>
        <v>0</v>
      </c>
      <c r="U42" s="4">
        <v>0</v>
      </c>
    </row>
    <row r="43" spans="2:21" x14ac:dyDescent="0.25">
      <c r="B43" s="6"/>
      <c r="C43" s="15"/>
      <c r="D43" s="15"/>
      <c r="E43" s="15"/>
      <c r="F43" s="15"/>
      <c r="G43" s="15"/>
      <c r="H43" s="15"/>
      <c r="I43" s="6"/>
      <c r="J43" s="6"/>
      <c r="N43" s="4" t="s">
        <v>264</v>
      </c>
      <c r="O43" s="4">
        <v>1</v>
      </c>
      <c r="P43" s="4">
        <v>1</v>
      </c>
      <c r="Q43" s="4">
        <f>P43</f>
        <v>1</v>
      </c>
      <c r="U43" s="4" t="b">
        <v>0</v>
      </c>
    </row>
    <row r="44" spans="2:21" x14ac:dyDescent="0.25">
      <c r="B44" s="6"/>
      <c r="C44" s="15"/>
      <c r="D44" s="15"/>
      <c r="E44" s="15"/>
      <c r="F44" s="15"/>
      <c r="G44" s="15"/>
      <c r="H44" s="15"/>
      <c r="I44" s="6"/>
      <c r="J44" s="6"/>
      <c r="N44" s="4" t="s">
        <v>188</v>
      </c>
      <c r="O44" s="4" t="s">
        <v>266</v>
      </c>
      <c r="P44" s="4" t="s">
        <v>266</v>
      </c>
      <c r="Q44" s="4">
        <f>IFERROR(INDEX(Options!$A$178:$A$183,Report!P43),"error_result")</f>
        <v>0</v>
      </c>
      <c r="U44" s="4" t="b">
        <v>0</v>
      </c>
    </row>
    <row r="45" spans="2:21" x14ac:dyDescent="0.25">
      <c r="B45" s="6"/>
      <c r="C45" s="15"/>
      <c r="D45" s="15"/>
      <c r="E45" s="15"/>
      <c r="F45" s="15"/>
      <c r="G45" s="15"/>
      <c r="H45" s="15"/>
      <c r="I45" s="6"/>
      <c r="J45" s="6"/>
      <c r="N45" s="4" t="s">
        <v>265</v>
      </c>
      <c r="O45" s="4">
        <v>1</v>
      </c>
      <c r="P45" s="4">
        <v>1</v>
      </c>
      <c r="Q45" s="4">
        <f>P45</f>
        <v>1</v>
      </c>
      <c r="U45" s="4" t="b">
        <v>0</v>
      </c>
    </row>
    <row r="46" spans="2:21" x14ac:dyDescent="0.25">
      <c r="B46" s="6"/>
      <c r="C46" s="15"/>
      <c r="D46" s="15"/>
      <c r="E46" s="15"/>
      <c r="F46" s="15"/>
      <c r="G46" s="15"/>
      <c r="H46" s="15"/>
      <c r="I46" s="6"/>
      <c r="J46" s="6"/>
      <c r="N46" s="4" t="s">
        <v>189</v>
      </c>
      <c r="O46" s="4" t="s">
        <v>266</v>
      </c>
      <c r="P46" s="4" t="s">
        <v>266</v>
      </c>
      <c r="Q46" s="4">
        <f>IFERROR(INDEX(Options!$A$185:$A$191,Report!P45),"error_result")</f>
        <v>0</v>
      </c>
      <c r="U46" s="4" t="b">
        <v>0</v>
      </c>
    </row>
    <row r="47" spans="2:21" x14ac:dyDescent="0.25">
      <c r="B47" s="6"/>
      <c r="C47" s="6"/>
      <c r="D47" s="6"/>
      <c r="E47" s="6"/>
      <c r="F47" s="6"/>
      <c r="G47" s="6"/>
      <c r="H47" s="6"/>
      <c r="I47" s="6"/>
      <c r="J47" s="6"/>
      <c r="N47" s="4" t="s">
        <v>190</v>
      </c>
      <c r="O47" s="4">
        <v>0</v>
      </c>
      <c r="P47" s="4">
        <v>0</v>
      </c>
      <c r="Q47" s="4">
        <f>E64</f>
        <v>0</v>
      </c>
      <c r="U47" s="4">
        <v>0</v>
      </c>
    </row>
    <row r="48" spans="2:21" x14ac:dyDescent="0.25">
      <c r="B48" s="6"/>
      <c r="C48" s="7"/>
      <c r="D48" s="7"/>
      <c r="E48" s="7"/>
      <c r="F48" s="7"/>
      <c r="G48" s="6"/>
      <c r="H48" s="6"/>
      <c r="I48" s="6"/>
      <c r="J48" s="6"/>
      <c r="N48" s="4" t="s">
        <v>191</v>
      </c>
      <c r="O48" s="4">
        <v>0</v>
      </c>
      <c r="P48" s="4">
        <v>0</v>
      </c>
      <c r="Q48" s="4" t="str">
        <f>F64</f>
        <v/>
      </c>
      <c r="U48" s="4">
        <v>0</v>
      </c>
    </row>
    <row r="49" spans="2:21" x14ac:dyDescent="0.25">
      <c r="B49" s="6"/>
      <c r="C49" s="7"/>
      <c r="D49" s="7"/>
      <c r="E49" s="7"/>
      <c r="F49" s="7"/>
      <c r="G49" s="6"/>
      <c r="H49" s="6"/>
      <c r="I49" s="6"/>
      <c r="J49" s="6"/>
      <c r="N49" s="4" t="s">
        <v>267</v>
      </c>
      <c r="O49" s="4">
        <v>1</v>
      </c>
      <c r="P49" s="4">
        <v>1</v>
      </c>
      <c r="Q49" s="4">
        <f>P49</f>
        <v>1</v>
      </c>
      <c r="U49" s="4">
        <v>0</v>
      </c>
    </row>
    <row r="50" spans="2:21" x14ac:dyDescent="0.25">
      <c r="B50" s="6"/>
      <c r="C50" s="7"/>
      <c r="D50" s="7"/>
      <c r="E50" s="7"/>
      <c r="F50" s="7"/>
      <c r="G50" s="6"/>
      <c r="H50" s="6"/>
      <c r="I50" s="6"/>
      <c r="J50" s="6"/>
      <c r="N50" s="4" t="s">
        <v>192</v>
      </c>
      <c r="O50" s="4" t="s">
        <v>266</v>
      </c>
      <c r="P50" s="4" t="s">
        <v>266</v>
      </c>
      <c r="Q50" s="4" cm="1">
        <f t="array" ref="Q50">INDEX(Options!$A$216:$A$220,Report!P49)</f>
        <v>0</v>
      </c>
      <c r="U50" s="4">
        <v>0</v>
      </c>
    </row>
    <row r="51" spans="2:21" x14ac:dyDescent="0.25">
      <c r="B51" s="6"/>
      <c r="C51" s="6"/>
      <c r="D51" s="6"/>
      <c r="E51" s="6"/>
      <c r="F51" s="6"/>
      <c r="G51" s="6"/>
      <c r="H51" s="6"/>
      <c r="I51" s="6"/>
      <c r="J51" s="6"/>
      <c r="N51" s="4" t="s">
        <v>268</v>
      </c>
      <c r="O51" s="4">
        <v>1</v>
      </c>
      <c r="P51" s="4">
        <v>1</v>
      </c>
      <c r="Q51" s="4">
        <f>P51</f>
        <v>1</v>
      </c>
    </row>
    <row r="52" spans="2:21" x14ac:dyDescent="0.25">
      <c r="B52" s="6"/>
      <c r="C52" s="7"/>
      <c r="D52" s="7"/>
      <c r="E52" s="7"/>
      <c r="F52" s="7"/>
      <c r="G52" s="6"/>
      <c r="H52" s="6"/>
      <c r="I52" s="6"/>
      <c r="J52" s="6"/>
      <c r="N52" s="4" t="s">
        <v>193</v>
      </c>
      <c r="O52" s="4" t="s">
        <v>266</v>
      </c>
      <c r="P52" s="4" t="s">
        <v>266</v>
      </c>
      <c r="Q52" s="4" cm="1">
        <f t="array" ref="Q52">INDEX(Options!$A$222:$A$226,P51)</f>
        <v>0</v>
      </c>
    </row>
    <row r="53" spans="2:21" x14ac:dyDescent="0.25">
      <c r="B53" s="6"/>
      <c r="C53" s="7"/>
      <c r="D53" s="7"/>
      <c r="E53" s="7"/>
      <c r="F53" s="7"/>
      <c r="G53" s="6"/>
      <c r="H53" s="6"/>
      <c r="I53" s="6"/>
      <c r="J53" s="6"/>
      <c r="N53" s="4" t="s">
        <v>269</v>
      </c>
      <c r="O53" s="4">
        <v>1</v>
      </c>
      <c r="P53" s="4">
        <v>1</v>
      </c>
      <c r="Q53" s="4">
        <f>P53</f>
        <v>1</v>
      </c>
    </row>
    <row r="54" spans="2:21" x14ac:dyDescent="0.25">
      <c r="B54" s="6"/>
      <c r="C54" s="7"/>
      <c r="D54" s="7"/>
      <c r="E54" s="7"/>
      <c r="F54" s="7"/>
      <c r="G54" s="6"/>
      <c r="H54" s="6"/>
      <c r="I54" s="6"/>
      <c r="J54" s="6"/>
      <c r="N54" s="4" t="s">
        <v>194</v>
      </c>
      <c r="O54" s="4" t="s">
        <v>266</v>
      </c>
      <c r="P54" s="4" t="s">
        <v>266</v>
      </c>
      <c r="Q54" s="4" cm="1">
        <f t="array" ref="Q54">INDEX(Options!$A$228:$A$231,Report!P53)</f>
        <v>0</v>
      </c>
    </row>
    <row r="55" spans="2:21" x14ac:dyDescent="0.25">
      <c r="B55" s="6"/>
      <c r="C55" s="6"/>
      <c r="D55" s="6"/>
      <c r="E55" s="6"/>
      <c r="F55" s="6"/>
      <c r="G55" s="6"/>
      <c r="H55" s="6"/>
      <c r="I55" s="6"/>
      <c r="J55" s="6"/>
      <c r="N55" s="4" t="s">
        <v>195</v>
      </c>
      <c r="O55" s="4" t="b">
        <v>0</v>
      </c>
      <c r="P55" s="4" t="b">
        <v>0</v>
      </c>
      <c r="Q55" s="4" t="b">
        <f>P55</f>
        <v>0</v>
      </c>
      <c r="U55" s="4">
        <v>0</v>
      </c>
    </row>
    <row r="56" spans="2:21" x14ac:dyDescent="0.25">
      <c r="B56" s="6"/>
      <c r="C56" s="7"/>
      <c r="D56" s="7"/>
      <c r="E56" s="7"/>
      <c r="F56" s="7"/>
      <c r="G56" s="7"/>
      <c r="H56" s="6"/>
      <c r="I56" s="6"/>
      <c r="J56" s="6"/>
      <c r="N56" s="4" t="s">
        <v>196</v>
      </c>
      <c r="O56" s="4" t="b">
        <v>0</v>
      </c>
      <c r="P56" s="4" t="b">
        <v>0</v>
      </c>
      <c r="Q56" s="4" t="b">
        <f t="shared" ref="Q56:Q58" si="1">P56</f>
        <v>0</v>
      </c>
      <c r="U56" s="4">
        <v>0</v>
      </c>
    </row>
    <row r="57" spans="2:21" x14ac:dyDescent="0.25">
      <c r="B57" s="6"/>
      <c r="C57" s="7"/>
      <c r="D57" s="7"/>
      <c r="E57" s="7"/>
      <c r="F57" s="7"/>
      <c r="G57" s="7"/>
      <c r="H57" s="6"/>
      <c r="I57" s="6"/>
      <c r="J57" s="6"/>
      <c r="N57" s="4" t="s">
        <v>197</v>
      </c>
      <c r="O57" s="4" t="b">
        <v>0</v>
      </c>
      <c r="P57" s="4" t="b">
        <v>0</v>
      </c>
      <c r="Q57" s="4" t="b">
        <f t="shared" si="1"/>
        <v>0</v>
      </c>
      <c r="U57" s="4">
        <v>0</v>
      </c>
    </row>
    <row r="58" spans="2:21" x14ac:dyDescent="0.25">
      <c r="B58" s="6"/>
      <c r="C58" s="7"/>
      <c r="D58" s="7"/>
      <c r="E58" s="7"/>
      <c r="F58" s="7"/>
      <c r="G58" s="7"/>
      <c r="H58" s="6"/>
      <c r="I58" s="6"/>
      <c r="J58" s="6"/>
      <c r="N58" s="4" t="s">
        <v>198</v>
      </c>
      <c r="O58" s="4" t="b">
        <v>0</v>
      </c>
      <c r="P58" s="4" t="b">
        <v>0</v>
      </c>
      <c r="Q58" s="4" t="b">
        <f t="shared" si="1"/>
        <v>0</v>
      </c>
      <c r="U58" s="4">
        <v>0</v>
      </c>
    </row>
    <row r="59" spans="2:21" x14ac:dyDescent="0.25">
      <c r="B59" s="6"/>
      <c r="C59" s="7"/>
      <c r="D59" s="7"/>
      <c r="E59" s="7"/>
      <c r="F59" s="7"/>
      <c r="G59" s="7"/>
      <c r="H59" s="6"/>
      <c r="I59" s="6"/>
      <c r="J59" s="6"/>
      <c r="N59" s="4" t="s">
        <v>199</v>
      </c>
      <c r="O59" s="4">
        <v>0</v>
      </c>
      <c r="P59" s="4">
        <v>0</v>
      </c>
      <c r="Q59" s="4">
        <f>IFERROR(E81,"error_result")</f>
        <v>0</v>
      </c>
      <c r="U59" s="4">
        <v>0</v>
      </c>
    </row>
    <row r="60" spans="2:21" x14ac:dyDescent="0.25">
      <c r="B60" s="6"/>
      <c r="C60" s="7"/>
      <c r="D60" s="7"/>
      <c r="E60" s="7"/>
      <c r="F60" s="7"/>
      <c r="G60" s="7"/>
      <c r="H60" s="6"/>
      <c r="I60" s="6"/>
      <c r="J60" s="6"/>
      <c r="N60" s="4" t="s">
        <v>270</v>
      </c>
      <c r="O60" s="4">
        <v>1</v>
      </c>
      <c r="P60" s="4">
        <v>1</v>
      </c>
      <c r="Q60" s="4">
        <f>P60</f>
        <v>1</v>
      </c>
      <c r="U60" s="4">
        <v>0</v>
      </c>
    </row>
    <row r="61" spans="2:21" x14ac:dyDescent="0.25">
      <c r="B61" s="6"/>
      <c r="C61" s="7"/>
      <c r="D61" s="7"/>
      <c r="E61" s="7"/>
      <c r="F61" s="7"/>
      <c r="G61" s="7"/>
      <c r="H61" s="6"/>
      <c r="I61" s="6"/>
      <c r="J61" s="6"/>
      <c r="N61" s="4" t="s">
        <v>200</v>
      </c>
      <c r="O61" s="4" t="s">
        <v>266</v>
      </c>
      <c r="P61" s="4" t="s">
        <v>266</v>
      </c>
      <c r="Q61" s="4">
        <f>IFERROR(INDEX(Options!A241:A245,Report!P60),"error_result")</f>
        <v>0</v>
      </c>
      <c r="U61" s="4" t="b">
        <v>0</v>
      </c>
    </row>
    <row r="62" spans="2:21" x14ac:dyDescent="0.25">
      <c r="B62" s="6"/>
      <c r="C62" s="7"/>
      <c r="D62" s="7"/>
      <c r="E62" s="7"/>
      <c r="F62" s="7"/>
      <c r="G62" s="7"/>
      <c r="H62" s="6"/>
      <c r="I62" s="6"/>
      <c r="J62" s="6"/>
      <c r="N62" s="4" t="s">
        <v>201</v>
      </c>
      <c r="O62" s="4">
        <v>0</v>
      </c>
      <c r="P62" s="4">
        <v>0</v>
      </c>
      <c r="Q62" s="4">
        <f>E88</f>
        <v>0</v>
      </c>
      <c r="U62" s="4" t="b">
        <v>0</v>
      </c>
    </row>
    <row r="63" spans="2:21" x14ac:dyDescent="0.25">
      <c r="B63" s="6"/>
      <c r="C63" s="7"/>
      <c r="D63" s="7"/>
      <c r="E63" s="8"/>
      <c r="F63" s="7"/>
      <c r="G63" s="7"/>
      <c r="H63" s="6"/>
      <c r="I63" s="6"/>
      <c r="J63" s="6"/>
      <c r="N63" s="4" t="s">
        <v>271</v>
      </c>
      <c r="O63" s="4">
        <v>1</v>
      </c>
      <c r="P63" s="4">
        <v>1</v>
      </c>
      <c r="Q63" s="4">
        <f>P63</f>
        <v>1</v>
      </c>
      <c r="U63" s="4" t="b">
        <v>0</v>
      </c>
    </row>
    <row r="64" spans="2:21" x14ac:dyDescent="0.25">
      <c r="B64" s="6"/>
      <c r="C64" s="7"/>
      <c r="D64" s="7"/>
      <c r="E64" s="7">
        <f>SUM(R2,R3,R4)</f>
        <v>0</v>
      </c>
      <c r="F64" s="10" t="str">
        <f>IF(E64=0,"",IF(E64&gt;=Options!$A$193,Options!$B$193,IF(E64&gt;=Options!$A$194,Options!$B$194,Options!$B$195)))</f>
        <v/>
      </c>
      <c r="G64" s="7"/>
      <c r="H64" s="6"/>
      <c r="I64" s="6"/>
      <c r="J64" s="6"/>
      <c r="N64" s="4" t="s">
        <v>202</v>
      </c>
      <c r="O64" s="4" t="s">
        <v>266</v>
      </c>
      <c r="P64" s="4" t="s">
        <v>266</v>
      </c>
      <c r="Q64" s="4">
        <f>IFERROR(INDEX(Options!A253:A260,Report!P63),"error_result")</f>
        <v>0</v>
      </c>
    </row>
    <row r="65" spans="2:21" x14ac:dyDescent="0.25">
      <c r="B65" s="6"/>
      <c r="C65" s="7"/>
      <c r="D65" s="7"/>
      <c r="E65" s="7"/>
      <c r="F65" s="7"/>
      <c r="G65" s="7"/>
      <c r="H65" s="6"/>
      <c r="I65" s="6"/>
      <c r="J65" s="6"/>
      <c r="N65" s="4" t="s">
        <v>203</v>
      </c>
      <c r="O65" s="4">
        <v>0</v>
      </c>
      <c r="P65" s="4">
        <v>0</v>
      </c>
      <c r="Q65" s="4">
        <f>E94</f>
        <v>0</v>
      </c>
      <c r="U65" s="4" t="b">
        <v>0</v>
      </c>
    </row>
    <row r="66" spans="2:21" x14ac:dyDescent="0.25">
      <c r="B66" s="6"/>
      <c r="C66" s="6"/>
      <c r="D66" s="6"/>
      <c r="E66" s="6"/>
      <c r="F66" s="6"/>
      <c r="G66" s="6"/>
      <c r="H66" s="6"/>
      <c r="I66" s="6"/>
      <c r="J66" s="6"/>
      <c r="N66" s="4" t="s">
        <v>272</v>
      </c>
      <c r="O66" s="4">
        <v>1</v>
      </c>
      <c r="P66" s="4">
        <v>1</v>
      </c>
      <c r="Q66" s="4">
        <f>P66</f>
        <v>1</v>
      </c>
      <c r="U66" s="4" t="b">
        <v>0</v>
      </c>
    </row>
    <row r="67" spans="2:21" x14ac:dyDescent="0.25">
      <c r="B67" s="6"/>
      <c r="C67" s="7"/>
      <c r="D67" s="7"/>
      <c r="E67" s="7"/>
      <c r="F67" s="7"/>
      <c r="G67" s="7"/>
      <c r="H67" s="7"/>
      <c r="I67" s="7"/>
      <c r="J67" s="6"/>
      <c r="N67" s="4" t="s">
        <v>204</v>
      </c>
      <c r="O67" s="4" t="s">
        <v>266</v>
      </c>
      <c r="P67" s="4" t="s">
        <v>266</v>
      </c>
      <c r="Q67" s="4">
        <f>IFERROR(INDEX(Options!A248:A251,Report!P66),"error_result")</f>
        <v>0</v>
      </c>
      <c r="U67" s="4">
        <v>0</v>
      </c>
    </row>
    <row r="68" spans="2:21" x14ac:dyDescent="0.25">
      <c r="B68" s="6"/>
      <c r="C68" s="7"/>
      <c r="D68" s="7"/>
      <c r="E68" s="7"/>
      <c r="F68" s="7"/>
      <c r="G68" s="7"/>
      <c r="H68" s="7"/>
      <c r="I68" s="7"/>
      <c r="J68" s="6"/>
      <c r="N68" s="4" t="s">
        <v>273</v>
      </c>
      <c r="O68" s="4">
        <v>1</v>
      </c>
      <c r="P68" s="4">
        <v>1</v>
      </c>
      <c r="Q68" s="4">
        <f>P68</f>
        <v>1</v>
      </c>
      <c r="U68" s="4">
        <v>0</v>
      </c>
    </row>
    <row r="69" spans="2:21" x14ac:dyDescent="0.25">
      <c r="B69" s="6"/>
      <c r="C69" s="7"/>
      <c r="D69" s="7"/>
      <c r="E69" s="7"/>
      <c r="F69" s="7"/>
      <c r="G69" s="7"/>
      <c r="H69" s="7"/>
      <c r="I69" s="7"/>
      <c r="J69" s="6"/>
      <c r="N69" s="4" t="s">
        <v>205</v>
      </c>
      <c r="O69" s="4" t="s">
        <v>266</v>
      </c>
      <c r="P69" s="4" t="s">
        <v>266</v>
      </c>
      <c r="Q69" s="4">
        <f>IFERROR(INDEX(Options!A262:A266,Report!P68),"error_result")</f>
        <v>0</v>
      </c>
      <c r="U69" s="4">
        <v>0</v>
      </c>
    </row>
    <row r="70" spans="2:21" x14ac:dyDescent="0.25">
      <c r="B70" s="6"/>
      <c r="C70" s="7"/>
      <c r="D70" s="7"/>
      <c r="E70" s="7"/>
      <c r="F70" s="7"/>
      <c r="G70" s="7"/>
      <c r="H70" s="7"/>
      <c r="I70" s="7"/>
      <c r="J70" s="6"/>
      <c r="N70" s="4" t="s">
        <v>274</v>
      </c>
      <c r="O70" s="4">
        <v>1</v>
      </c>
      <c r="P70" s="4">
        <v>1</v>
      </c>
      <c r="Q70" s="4">
        <f>P70</f>
        <v>1</v>
      </c>
      <c r="U70" s="4">
        <v>0</v>
      </c>
    </row>
    <row r="71" spans="2:21" x14ac:dyDescent="0.25">
      <c r="B71" s="6"/>
      <c r="C71" s="7"/>
      <c r="D71" s="7"/>
      <c r="E71" s="7"/>
      <c r="F71" s="7"/>
      <c r="G71" s="7"/>
      <c r="H71" s="7"/>
      <c r="I71" s="7"/>
      <c r="J71" s="6"/>
      <c r="N71" s="4" t="s">
        <v>206</v>
      </c>
      <c r="O71" s="4" t="s">
        <v>266</v>
      </c>
      <c r="P71" s="4" t="s">
        <v>266</v>
      </c>
      <c r="Q71" s="4">
        <f>IFERROR(INDEX(Options!A268:A272,Report!P70),"error_result")</f>
        <v>0</v>
      </c>
      <c r="U71" s="4">
        <v>0</v>
      </c>
    </row>
    <row r="72" spans="2:21" x14ac:dyDescent="0.25">
      <c r="B72" s="6"/>
      <c r="C72" s="7"/>
      <c r="D72" s="7"/>
      <c r="E72" s="7"/>
      <c r="F72" s="7"/>
      <c r="G72" s="7"/>
      <c r="H72" s="7"/>
      <c r="I72" s="7"/>
      <c r="J72" s="6"/>
      <c r="N72" s="4" t="s">
        <v>275</v>
      </c>
      <c r="O72" s="4">
        <v>1</v>
      </c>
      <c r="P72" s="4">
        <v>1</v>
      </c>
      <c r="Q72" s="4">
        <f>P72</f>
        <v>1</v>
      </c>
      <c r="U72" s="4" t="b">
        <v>0</v>
      </c>
    </row>
    <row r="73" spans="2:21" x14ac:dyDescent="0.25">
      <c r="B73" s="6"/>
      <c r="C73" s="7"/>
      <c r="D73" s="7"/>
      <c r="E73" s="7"/>
      <c r="F73" s="7"/>
      <c r="G73" s="7"/>
      <c r="H73" s="7"/>
      <c r="I73" s="7"/>
      <c r="J73" s="6"/>
      <c r="N73" s="4" t="s">
        <v>207</v>
      </c>
      <c r="O73" s="4" t="s">
        <v>266</v>
      </c>
      <c r="P73" s="4" t="s">
        <v>266</v>
      </c>
      <c r="Q73" s="4">
        <f>IFERROR(INDEX(Options!A274:A278,Report!P72),"error_result")</f>
        <v>0</v>
      </c>
      <c r="U73" s="4" t="b">
        <v>0</v>
      </c>
    </row>
    <row r="74" spans="2:21" x14ac:dyDescent="0.25">
      <c r="B74" s="6"/>
      <c r="C74" s="6"/>
      <c r="D74" s="6"/>
      <c r="E74" s="6"/>
      <c r="F74" s="6"/>
      <c r="G74" s="6"/>
      <c r="H74" s="6"/>
      <c r="I74" s="6"/>
      <c r="J74" s="6"/>
      <c r="N74" s="4" t="s">
        <v>208</v>
      </c>
      <c r="O74" s="4" t="b">
        <v>0</v>
      </c>
      <c r="P74" s="4" t="b">
        <v>0</v>
      </c>
      <c r="Q74" s="4" t="b">
        <f>P74</f>
        <v>0</v>
      </c>
      <c r="U74" s="4" t="b">
        <v>0</v>
      </c>
    </row>
    <row r="75" spans="2:21" x14ac:dyDescent="0.25">
      <c r="B75" s="6"/>
      <c r="C75" s="7"/>
      <c r="D75" s="7"/>
      <c r="E75" s="7"/>
      <c r="F75" s="6"/>
      <c r="G75" s="6"/>
      <c r="H75" s="6"/>
      <c r="I75" s="6"/>
      <c r="J75" s="6"/>
      <c r="N75" s="4" t="s">
        <v>209</v>
      </c>
      <c r="O75" s="4" t="b">
        <v>0</v>
      </c>
      <c r="P75" s="4" t="b">
        <v>0</v>
      </c>
      <c r="Q75" s="4" t="b">
        <f>P75</f>
        <v>0</v>
      </c>
      <c r="U75" s="4" t="b">
        <v>0</v>
      </c>
    </row>
    <row r="76" spans="2:21" x14ac:dyDescent="0.25">
      <c r="B76" s="6"/>
      <c r="C76" s="7"/>
      <c r="D76" s="7"/>
      <c r="E76" s="7"/>
      <c r="F76" s="6"/>
      <c r="G76" s="6"/>
      <c r="H76" s="6"/>
      <c r="I76" s="6"/>
      <c r="J76" s="6"/>
      <c r="N76" s="4" t="s">
        <v>277</v>
      </c>
      <c r="O76" s="4" t="b">
        <v>0</v>
      </c>
      <c r="P76" s="4" t="b">
        <v>0</v>
      </c>
      <c r="Q76" s="4" t="b">
        <f>P76</f>
        <v>0</v>
      </c>
      <c r="U76" s="4" t="b">
        <v>0</v>
      </c>
    </row>
    <row r="77" spans="2:21" x14ac:dyDescent="0.25">
      <c r="B77" s="6"/>
      <c r="C77" s="7"/>
      <c r="D77" s="7"/>
      <c r="E77" s="7"/>
      <c r="F77" s="6"/>
      <c r="G77" s="6"/>
      <c r="H77" s="6"/>
      <c r="I77" s="6"/>
      <c r="J77" s="6"/>
      <c r="N77" s="4" t="s">
        <v>278</v>
      </c>
      <c r="O77" s="4" t="b">
        <v>0</v>
      </c>
      <c r="P77" s="4" t="b">
        <v>0</v>
      </c>
      <c r="Q77" s="4" t="b">
        <f>P77</f>
        <v>0</v>
      </c>
      <c r="U77" s="4" t="b">
        <v>0</v>
      </c>
    </row>
    <row r="78" spans="2:21" x14ac:dyDescent="0.25">
      <c r="B78" s="6"/>
      <c r="C78" s="7"/>
      <c r="D78" s="7"/>
      <c r="E78" s="7"/>
      <c r="F78" s="6"/>
      <c r="G78" s="6"/>
      <c r="H78" s="6"/>
      <c r="I78" s="6"/>
      <c r="J78" s="6"/>
      <c r="N78" s="4" t="s">
        <v>210</v>
      </c>
      <c r="O78" s="4" t="b">
        <v>0</v>
      </c>
      <c r="P78" s="4" t="b">
        <v>0</v>
      </c>
      <c r="Q78" s="4" t="b">
        <f>P78</f>
        <v>0</v>
      </c>
      <c r="U78" s="4" t="b">
        <v>0</v>
      </c>
    </row>
    <row r="79" spans="2:21" x14ac:dyDescent="0.25">
      <c r="B79" s="6"/>
      <c r="C79" s="7"/>
      <c r="D79" s="7"/>
      <c r="E79" s="7"/>
      <c r="F79" s="6"/>
      <c r="G79" s="6"/>
      <c r="H79" s="6"/>
      <c r="I79" s="6"/>
      <c r="J79" s="6"/>
      <c r="N79" s="4" t="s">
        <v>211</v>
      </c>
      <c r="O79" s="4">
        <v>0</v>
      </c>
      <c r="P79" s="4">
        <v>0</v>
      </c>
      <c r="Q79" s="4">
        <f>E115</f>
        <v>0</v>
      </c>
      <c r="U79" s="4" t="b">
        <v>0</v>
      </c>
    </row>
    <row r="80" spans="2:21" x14ac:dyDescent="0.25">
      <c r="B80" s="6"/>
      <c r="C80" s="7"/>
      <c r="D80" s="7"/>
      <c r="E80" s="7"/>
      <c r="F80" s="6"/>
      <c r="G80" s="6"/>
      <c r="H80" s="6"/>
      <c r="I80" s="6"/>
      <c r="J80" s="6"/>
      <c r="N80" s="4" t="s">
        <v>212</v>
      </c>
      <c r="O80" s="4">
        <v>0</v>
      </c>
      <c r="P80" s="4">
        <v>0</v>
      </c>
      <c r="Q80" s="4">
        <f>E117</f>
        <v>0</v>
      </c>
      <c r="U80" s="4" t="b">
        <v>0</v>
      </c>
    </row>
    <row r="81" spans="2:21" x14ac:dyDescent="0.25">
      <c r="B81" s="6"/>
      <c r="C81" s="7"/>
      <c r="D81" s="7"/>
      <c r="E81" s="7">
        <f>COUNTIF(P55:P58,TRUE)</f>
        <v>0</v>
      </c>
      <c r="F81" s="6"/>
      <c r="G81" s="6"/>
      <c r="H81" s="6"/>
      <c r="I81" s="6"/>
      <c r="J81" s="6"/>
      <c r="N81" s="4" t="s">
        <v>213</v>
      </c>
      <c r="O81" s="4">
        <v>0</v>
      </c>
      <c r="P81" s="4">
        <v>0</v>
      </c>
      <c r="Q81" s="4">
        <f>G117</f>
        <v>0</v>
      </c>
      <c r="U81" s="4" t="b">
        <v>0</v>
      </c>
    </row>
    <row r="82" spans="2:21" x14ac:dyDescent="0.25">
      <c r="B82" s="6"/>
      <c r="C82" s="6"/>
      <c r="D82" s="6"/>
      <c r="E82" s="6"/>
      <c r="F82" s="6"/>
      <c r="G82" s="6"/>
      <c r="H82" s="6"/>
      <c r="I82" s="6"/>
      <c r="J82" s="6"/>
      <c r="N82" s="4" t="s">
        <v>214</v>
      </c>
      <c r="O82" s="4">
        <v>0</v>
      </c>
      <c r="P82" s="4">
        <v>0</v>
      </c>
      <c r="Q82" s="4">
        <f>C120</f>
        <v>0</v>
      </c>
      <c r="U82" s="4" t="b">
        <v>0</v>
      </c>
    </row>
    <row r="83" spans="2:21" x14ac:dyDescent="0.25">
      <c r="N83" s="4" t="s">
        <v>215</v>
      </c>
      <c r="O83" s="4">
        <v>0</v>
      </c>
      <c r="P83" s="4">
        <v>0</v>
      </c>
      <c r="Q83" s="4">
        <f>C126</f>
        <v>0</v>
      </c>
      <c r="U83" s="4" t="b">
        <v>0</v>
      </c>
    </row>
    <row r="84" spans="2:21" x14ac:dyDescent="0.25">
      <c r="B84" s="6"/>
      <c r="C84" s="6"/>
      <c r="D84" s="6"/>
      <c r="E84" s="6"/>
      <c r="F84" s="6"/>
      <c r="G84" s="6"/>
      <c r="H84" s="6"/>
      <c r="I84" s="6"/>
      <c r="N84" s="4" t="s">
        <v>216</v>
      </c>
      <c r="O84" s="4" t="b">
        <v>0</v>
      </c>
      <c r="P84" s="4" t="b">
        <v>0</v>
      </c>
      <c r="Q84" s="4" t="b">
        <f t="shared" ref="Q84:Q110" si="2">P84</f>
        <v>0</v>
      </c>
      <c r="U84" s="4" t="b">
        <v>0</v>
      </c>
    </row>
    <row r="85" spans="2:21" x14ac:dyDescent="0.25">
      <c r="B85" s="6"/>
      <c r="C85" s="7"/>
      <c r="D85" s="7"/>
      <c r="E85" s="7"/>
      <c r="F85" s="7"/>
      <c r="G85" s="7"/>
      <c r="H85" s="7"/>
      <c r="I85" s="6"/>
      <c r="N85" s="4" t="s">
        <v>217</v>
      </c>
      <c r="O85" s="4" t="b">
        <v>0</v>
      </c>
      <c r="P85" s="4" t="b">
        <v>0</v>
      </c>
      <c r="Q85" s="4" t="b">
        <f t="shared" si="2"/>
        <v>0</v>
      </c>
      <c r="U85" s="4" t="b">
        <v>0</v>
      </c>
    </row>
    <row r="86" spans="2:21" x14ac:dyDescent="0.25">
      <c r="B86" s="6"/>
      <c r="C86" s="7"/>
      <c r="D86" s="7"/>
      <c r="E86" s="7"/>
      <c r="F86" s="7"/>
      <c r="G86" s="7"/>
      <c r="H86" s="7"/>
      <c r="I86" s="6"/>
      <c r="N86" s="4" t="s">
        <v>218</v>
      </c>
      <c r="O86" s="4" t="b">
        <v>0</v>
      </c>
      <c r="P86" s="4" t="b">
        <v>0</v>
      </c>
      <c r="Q86" s="4" t="b">
        <f t="shared" si="2"/>
        <v>0</v>
      </c>
      <c r="U86" s="4" t="b">
        <v>0</v>
      </c>
    </row>
    <row r="87" spans="2:21" x14ac:dyDescent="0.25">
      <c r="B87" s="6"/>
      <c r="C87" s="7"/>
      <c r="D87" s="7"/>
      <c r="E87" s="7"/>
      <c r="F87" s="7"/>
      <c r="G87" s="7"/>
      <c r="H87" s="7"/>
      <c r="I87" s="6"/>
      <c r="N87" s="4" t="s">
        <v>219</v>
      </c>
      <c r="O87" s="4" t="b">
        <v>0</v>
      </c>
      <c r="P87" s="4" t="b">
        <v>0</v>
      </c>
      <c r="Q87" s="4" t="b">
        <f t="shared" si="2"/>
        <v>0</v>
      </c>
      <c r="U87" s="4" t="b">
        <v>0</v>
      </c>
    </row>
    <row r="88" spans="2:21" x14ac:dyDescent="0.25">
      <c r="B88" s="6"/>
      <c r="C88" s="7"/>
      <c r="D88" s="7"/>
      <c r="E88" s="15"/>
      <c r="F88" s="15"/>
      <c r="G88" s="15"/>
      <c r="H88" s="7"/>
      <c r="I88" s="6"/>
      <c r="N88" s="4" t="s">
        <v>220</v>
      </c>
      <c r="O88" s="4" t="b">
        <v>0</v>
      </c>
      <c r="P88" s="4" t="b">
        <v>0</v>
      </c>
      <c r="Q88" s="4" t="b">
        <f t="shared" si="2"/>
        <v>0</v>
      </c>
      <c r="U88" s="4" t="b">
        <v>0</v>
      </c>
    </row>
    <row r="89" spans="2:21" x14ac:dyDescent="0.25">
      <c r="B89" s="6"/>
      <c r="C89" s="7"/>
      <c r="D89" s="7"/>
      <c r="E89" s="15"/>
      <c r="F89" s="15"/>
      <c r="G89" s="15"/>
      <c r="H89" s="7"/>
      <c r="I89" s="6"/>
      <c r="N89" s="4" t="s">
        <v>221</v>
      </c>
      <c r="O89" s="4" t="b">
        <v>0</v>
      </c>
      <c r="P89" s="4" t="b">
        <v>0</v>
      </c>
      <c r="Q89" s="4" t="b">
        <f t="shared" si="2"/>
        <v>0</v>
      </c>
      <c r="U89" s="4" t="b">
        <v>0</v>
      </c>
    </row>
    <row r="90" spans="2:21" x14ac:dyDescent="0.25">
      <c r="B90" s="6"/>
      <c r="C90" s="7"/>
      <c r="D90" s="7"/>
      <c r="E90" s="15"/>
      <c r="F90" s="15"/>
      <c r="G90" s="15"/>
      <c r="H90" s="7"/>
      <c r="I90" s="6"/>
      <c r="N90" s="4" t="s">
        <v>222</v>
      </c>
      <c r="O90" s="4" t="b">
        <v>0</v>
      </c>
      <c r="P90" s="4" t="b">
        <v>0</v>
      </c>
      <c r="Q90" s="4" t="b">
        <f t="shared" si="2"/>
        <v>0</v>
      </c>
      <c r="U90" s="4" t="b">
        <v>0</v>
      </c>
    </row>
    <row r="91" spans="2:21" x14ac:dyDescent="0.25">
      <c r="B91" s="6"/>
      <c r="C91" s="7"/>
      <c r="D91" s="7"/>
      <c r="E91" s="7"/>
      <c r="F91" s="7"/>
      <c r="G91" s="7"/>
      <c r="H91" s="7"/>
      <c r="I91" s="6"/>
      <c r="N91" s="4" t="s">
        <v>223</v>
      </c>
      <c r="O91" s="4" t="b">
        <v>0</v>
      </c>
      <c r="P91" s="4" t="b">
        <v>0</v>
      </c>
      <c r="Q91" s="4" t="b">
        <f t="shared" si="2"/>
        <v>0</v>
      </c>
      <c r="U91" s="4" t="b">
        <v>0</v>
      </c>
    </row>
    <row r="92" spans="2:21" x14ac:dyDescent="0.25">
      <c r="B92" s="6"/>
      <c r="C92" s="7"/>
      <c r="D92" s="7"/>
      <c r="E92" s="7"/>
      <c r="F92" s="7"/>
      <c r="G92" s="7"/>
      <c r="H92" s="7"/>
      <c r="I92" s="6"/>
      <c r="N92" s="4" t="s">
        <v>224</v>
      </c>
      <c r="O92" s="4" t="b">
        <v>0</v>
      </c>
      <c r="P92" s="4" t="b">
        <v>0</v>
      </c>
      <c r="Q92" s="4" t="b">
        <f t="shared" si="2"/>
        <v>0</v>
      </c>
      <c r="U92" s="4" t="b">
        <v>0</v>
      </c>
    </row>
    <row r="93" spans="2:21" x14ac:dyDescent="0.25">
      <c r="B93" s="6"/>
      <c r="C93" s="7"/>
      <c r="D93" s="7"/>
      <c r="E93" s="7"/>
      <c r="F93" s="7"/>
      <c r="G93" s="7"/>
      <c r="H93" s="7"/>
      <c r="I93" s="6"/>
      <c r="N93" s="4" t="s">
        <v>225</v>
      </c>
      <c r="O93" s="4" t="b">
        <v>0</v>
      </c>
      <c r="P93" s="4" t="b">
        <v>0</v>
      </c>
      <c r="Q93" s="4" t="b">
        <f t="shared" si="2"/>
        <v>0</v>
      </c>
      <c r="U93" s="4" t="b">
        <v>0</v>
      </c>
    </row>
    <row r="94" spans="2:21" x14ac:dyDescent="0.25">
      <c r="B94" s="6"/>
      <c r="C94" s="7"/>
      <c r="D94" s="7"/>
      <c r="E94" s="16"/>
      <c r="F94" s="17"/>
      <c r="G94" s="18"/>
      <c r="H94" s="7"/>
      <c r="I94" s="6"/>
      <c r="N94" s="4" t="s">
        <v>226</v>
      </c>
      <c r="O94" s="4" t="b">
        <v>0</v>
      </c>
      <c r="P94" s="4" t="b">
        <v>0</v>
      </c>
      <c r="Q94" s="4" t="b">
        <f t="shared" si="2"/>
        <v>0</v>
      </c>
      <c r="U94" s="4" t="b">
        <v>0</v>
      </c>
    </row>
    <row r="95" spans="2:21" x14ac:dyDescent="0.25">
      <c r="B95" s="6"/>
      <c r="C95" s="7"/>
      <c r="D95" s="7"/>
      <c r="E95" s="19"/>
      <c r="F95" s="20"/>
      <c r="G95" s="21"/>
      <c r="H95" s="7"/>
      <c r="I95" s="6"/>
      <c r="N95" s="4" t="s">
        <v>227</v>
      </c>
      <c r="O95" s="4" t="b">
        <v>0</v>
      </c>
      <c r="P95" s="4" t="b">
        <v>0</v>
      </c>
      <c r="Q95" s="4" t="b">
        <f t="shared" si="2"/>
        <v>0</v>
      </c>
      <c r="U95" s="4" t="b">
        <v>0</v>
      </c>
    </row>
    <row r="96" spans="2:21" x14ac:dyDescent="0.25">
      <c r="B96" s="6"/>
      <c r="C96" s="7"/>
      <c r="D96" s="7"/>
      <c r="E96" s="7"/>
      <c r="F96" s="7"/>
      <c r="G96" s="7"/>
      <c r="H96" s="7"/>
      <c r="I96" s="6"/>
      <c r="N96" s="4" t="s">
        <v>228</v>
      </c>
      <c r="O96" s="4" t="b">
        <v>0</v>
      </c>
      <c r="P96" s="4" t="b">
        <v>0</v>
      </c>
      <c r="Q96" s="4" t="b">
        <f t="shared" si="2"/>
        <v>0</v>
      </c>
      <c r="U96" s="4" t="b">
        <v>0</v>
      </c>
    </row>
    <row r="97" spans="2:21" x14ac:dyDescent="0.25">
      <c r="B97" s="6"/>
      <c r="C97" s="7"/>
      <c r="D97" s="7"/>
      <c r="E97" s="7"/>
      <c r="F97" s="7"/>
      <c r="G97" s="7"/>
      <c r="H97" s="7"/>
      <c r="I97" s="6"/>
      <c r="N97" s="4" t="s">
        <v>229</v>
      </c>
      <c r="O97" s="4" t="b">
        <v>0</v>
      </c>
      <c r="P97" s="4" t="b">
        <v>0</v>
      </c>
      <c r="Q97" s="4" t="b">
        <f t="shared" si="2"/>
        <v>0</v>
      </c>
      <c r="U97" s="4" t="b">
        <v>0</v>
      </c>
    </row>
    <row r="98" spans="2:21" x14ac:dyDescent="0.25">
      <c r="B98" s="6"/>
      <c r="C98" s="7"/>
      <c r="D98" s="7"/>
      <c r="E98" s="7"/>
      <c r="F98" s="7"/>
      <c r="G98" s="7"/>
      <c r="H98" s="7"/>
      <c r="I98" s="6"/>
      <c r="N98" s="4" t="s">
        <v>230</v>
      </c>
      <c r="O98" s="4" t="b">
        <v>0</v>
      </c>
      <c r="P98" s="4" t="b">
        <v>0</v>
      </c>
      <c r="Q98" s="4" t="b">
        <f t="shared" si="2"/>
        <v>0</v>
      </c>
      <c r="U98" s="4" t="b">
        <v>0</v>
      </c>
    </row>
    <row r="99" spans="2:21" x14ac:dyDescent="0.25">
      <c r="B99" s="6"/>
      <c r="C99" s="7"/>
      <c r="D99" s="7"/>
      <c r="E99" s="7"/>
      <c r="F99" s="7"/>
      <c r="G99" s="7"/>
      <c r="H99" s="7"/>
      <c r="I99" s="6"/>
      <c r="N99" s="4" t="s">
        <v>231</v>
      </c>
      <c r="O99" s="4" t="b">
        <v>0</v>
      </c>
      <c r="P99" s="4" t="b">
        <v>0</v>
      </c>
      <c r="Q99" s="4" t="b">
        <f t="shared" si="2"/>
        <v>0</v>
      </c>
      <c r="U99" s="4">
        <v>0</v>
      </c>
    </row>
    <row r="100" spans="2:21" x14ac:dyDescent="0.25">
      <c r="B100" s="6"/>
      <c r="C100" s="7"/>
      <c r="D100" s="7"/>
      <c r="E100" s="7"/>
      <c r="F100" s="7"/>
      <c r="G100" s="7"/>
      <c r="H100" s="7"/>
      <c r="I100" s="6"/>
      <c r="N100" s="4" t="s">
        <v>232</v>
      </c>
      <c r="O100" s="4" t="b">
        <v>0</v>
      </c>
      <c r="P100" s="4" t="b">
        <v>0</v>
      </c>
      <c r="Q100" s="4" t="b">
        <f t="shared" si="2"/>
        <v>0</v>
      </c>
      <c r="U100" s="4">
        <v>0</v>
      </c>
    </row>
    <row r="101" spans="2:21" x14ac:dyDescent="0.25">
      <c r="B101" s="6"/>
      <c r="C101" s="7"/>
      <c r="D101" s="7"/>
      <c r="E101" s="7"/>
      <c r="F101" s="7"/>
      <c r="G101" s="7"/>
      <c r="H101" s="7"/>
      <c r="I101" s="6"/>
      <c r="N101" s="4" t="s">
        <v>233</v>
      </c>
      <c r="O101" s="4" t="b">
        <v>0</v>
      </c>
      <c r="P101" s="4" t="b">
        <v>0</v>
      </c>
      <c r="Q101" s="4" t="b">
        <f t="shared" si="2"/>
        <v>0</v>
      </c>
      <c r="U101" s="4">
        <v>0</v>
      </c>
    </row>
    <row r="102" spans="2:21" x14ac:dyDescent="0.25">
      <c r="B102" s="6"/>
      <c r="C102" s="7"/>
      <c r="D102" s="7"/>
      <c r="E102" s="7"/>
      <c r="F102" s="7"/>
      <c r="G102" s="7"/>
      <c r="H102" s="7"/>
      <c r="I102" s="6"/>
      <c r="N102" s="4" t="s">
        <v>234</v>
      </c>
      <c r="O102" s="4" t="b">
        <v>0</v>
      </c>
      <c r="P102" s="4" t="b">
        <v>0</v>
      </c>
      <c r="Q102" s="4" t="b">
        <f t="shared" si="2"/>
        <v>0</v>
      </c>
      <c r="U102" s="4">
        <v>0</v>
      </c>
    </row>
    <row r="103" spans="2:21" x14ac:dyDescent="0.25">
      <c r="B103" s="6"/>
      <c r="C103" s="7"/>
      <c r="D103" s="7"/>
      <c r="E103" s="7"/>
      <c r="F103" s="7"/>
      <c r="G103" s="7"/>
      <c r="H103" s="7"/>
      <c r="I103" s="6"/>
      <c r="N103" s="4" t="s">
        <v>235</v>
      </c>
      <c r="O103" s="4" t="b">
        <v>0</v>
      </c>
      <c r="P103" s="4" t="b">
        <v>0</v>
      </c>
      <c r="Q103" s="4" t="b">
        <f t="shared" si="2"/>
        <v>0</v>
      </c>
      <c r="U103" s="4">
        <v>0</v>
      </c>
    </row>
    <row r="104" spans="2:21" x14ac:dyDescent="0.25">
      <c r="B104" s="6"/>
      <c r="C104" s="7"/>
      <c r="D104" s="7"/>
      <c r="E104" s="7"/>
      <c r="F104" s="7"/>
      <c r="G104" s="7"/>
      <c r="H104" s="7"/>
      <c r="I104" s="6"/>
      <c r="N104" s="4" t="s">
        <v>236</v>
      </c>
      <c r="O104" s="4" t="b">
        <v>0</v>
      </c>
      <c r="P104" s="4" t="b">
        <v>0</v>
      </c>
      <c r="Q104" s="4" t="b">
        <f t="shared" si="2"/>
        <v>0</v>
      </c>
      <c r="U104" s="4">
        <v>0</v>
      </c>
    </row>
    <row r="105" spans="2:21" x14ac:dyDescent="0.25">
      <c r="B105" s="6"/>
      <c r="C105" s="6"/>
      <c r="D105" s="6"/>
      <c r="E105" s="6"/>
      <c r="F105" s="6"/>
      <c r="G105" s="6"/>
      <c r="H105" s="6"/>
      <c r="I105" s="6"/>
      <c r="N105" s="4" t="s">
        <v>237</v>
      </c>
      <c r="O105" s="4" t="b">
        <v>0</v>
      </c>
      <c r="P105" s="4" t="b">
        <v>0</v>
      </c>
      <c r="Q105" s="4" t="b">
        <f t="shared" si="2"/>
        <v>0</v>
      </c>
      <c r="U105" s="4">
        <v>0</v>
      </c>
    </row>
    <row r="106" spans="2:21" x14ac:dyDescent="0.25">
      <c r="B106" s="6"/>
      <c r="C106" s="7"/>
      <c r="D106" s="7"/>
      <c r="E106" s="7"/>
      <c r="F106" s="7"/>
      <c r="G106" s="7"/>
      <c r="H106" s="6"/>
      <c r="I106" s="6"/>
      <c r="N106" s="4" t="s">
        <v>238</v>
      </c>
      <c r="O106" s="4" t="b">
        <v>0</v>
      </c>
      <c r="P106" s="4" t="b">
        <v>0</v>
      </c>
      <c r="Q106" s="4" t="b">
        <f t="shared" si="2"/>
        <v>0</v>
      </c>
      <c r="U106" s="4">
        <v>0</v>
      </c>
    </row>
    <row r="107" spans="2:21" x14ac:dyDescent="0.25">
      <c r="B107" s="6"/>
      <c r="C107" s="7"/>
      <c r="D107" s="7"/>
      <c r="E107" s="7"/>
      <c r="F107" s="7"/>
      <c r="G107" s="7"/>
      <c r="H107" s="6"/>
      <c r="I107" s="6"/>
      <c r="N107" s="4" t="s">
        <v>239</v>
      </c>
      <c r="O107" s="4" t="b">
        <v>0</v>
      </c>
      <c r="P107" s="4" t="b">
        <v>0</v>
      </c>
      <c r="Q107" s="4" t="b">
        <f t="shared" si="2"/>
        <v>0</v>
      </c>
      <c r="U107" s="4" t="b">
        <v>0</v>
      </c>
    </row>
    <row r="108" spans="2:21" x14ac:dyDescent="0.25">
      <c r="B108" s="6"/>
      <c r="C108" s="7"/>
      <c r="D108" s="7"/>
      <c r="E108" s="7"/>
      <c r="F108" s="7"/>
      <c r="G108" s="7"/>
      <c r="H108" s="6"/>
      <c r="I108" s="6"/>
      <c r="N108" s="4" t="s">
        <v>240</v>
      </c>
      <c r="O108" s="4" t="b">
        <v>0</v>
      </c>
      <c r="P108" s="4" t="b">
        <v>0</v>
      </c>
      <c r="Q108" s="4" t="b">
        <f t="shared" si="2"/>
        <v>0</v>
      </c>
      <c r="U108" s="4" t="b">
        <v>0</v>
      </c>
    </row>
    <row r="109" spans="2:21" x14ac:dyDescent="0.25">
      <c r="B109" s="6"/>
      <c r="C109" s="7"/>
      <c r="D109" s="7"/>
      <c r="E109" s="7"/>
      <c r="F109" s="7"/>
      <c r="G109" s="7"/>
      <c r="H109" s="6"/>
      <c r="I109" s="6"/>
      <c r="N109" s="4" t="s">
        <v>241</v>
      </c>
      <c r="O109" s="4" t="b">
        <v>0</v>
      </c>
      <c r="P109" s="4" t="b">
        <v>0</v>
      </c>
      <c r="Q109" s="4" t="b">
        <f t="shared" si="2"/>
        <v>0</v>
      </c>
      <c r="U109" s="4" t="b">
        <v>0</v>
      </c>
    </row>
    <row r="110" spans="2:21" x14ac:dyDescent="0.25">
      <c r="B110" s="6"/>
      <c r="C110" s="7"/>
      <c r="D110" s="7"/>
      <c r="E110" s="7"/>
      <c r="F110" s="7"/>
      <c r="G110" s="7"/>
      <c r="H110" s="6"/>
      <c r="I110" s="6"/>
      <c r="N110" s="4" t="s">
        <v>279</v>
      </c>
      <c r="O110" s="4" t="b">
        <v>0</v>
      </c>
      <c r="P110" s="4" t="b">
        <v>0</v>
      </c>
      <c r="Q110" s="4" t="b">
        <f t="shared" si="2"/>
        <v>0</v>
      </c>
      <c r="U110" s="4" t="b">
        <v>0</v>
      </c>
    </row>
    <row r="111" spans="2:21" x14ac:dyDescent="0.25">
      <c r="B111" s="6"/>
      <c r="C111" s="7"/>
      <c r="D111" s="7"/>
      <c r="E111" s="7"/>
      <c r="F111" s="7"/>
      <c r="G111" s="7"/>
      <c r="H111" s="6"/>
      <c r="I111" s="6"/>
      <c r="N111" s="4" t="s">
        <v>242</v>
      </c>
      <c r="O111" s="4">
        <v>0</v>
      </c>
      <c r="P111" s="4">
        <v>0</v>
      </c>
      <c r="Q111" s="4">
        <f>C149</f>
        <v>0</v>
      </c>
      <c r="U111" s="4">
        <v>0</v>
      </c>
    </row>
    <row r="112" spans="2:21" x14ac:dyDescent="0.25">
      <c r="B112" s="6"/>
      <c r="C112" s="7"/>
      <c r="D112" s="7"/>
      <c r="E112" s="7"/>
      <c r="F112" s="7"/>
      <c r="G112" s="7"/>
      <c r="H112" s="6"/>
      <c r="I112" s="6"/>
      <c r="N112" s="4" t="s">
        <v>280</v>
      </c>
      <c r="O112" s="4">
        <v>1</v>
      </c>
      <c r="P112" s="4">
        <v>1</v>
      </c>
      <c r="Q112" s="4">
        <f>P112</f>
        <v>1</v>
      </c>
      <c r="U112" s="4">
        <v>0</v>
      </c>
    </row>
    <row r="113" spans="2:17" x14ac:dyDescent="0.25">
      <c r="B113" s="6"/>
      <c r="C113" s="6"/>
      <c r="D113" s="6"/>
      <c r="E113" s="6"/>
      <c r="F113" s="6"/>
      <c r="G113" s="6"/>
      <c r="H113" s="6"/>
      <c r="I113" s="6"/>
      <c r="N113" s="4" t="s">
        <v>243</v>
      </c>
      <c r="O113" s="4" t="s">
        <v>266</v>
      </c>
      <c r="P113" s="4" t="s">
        <v>266</v>
      </c>
      <c r="Q113" s="4">
        <f>IFERROR(INDEX(Options!$A$153:$A$159,Report!P112),"error_result")</f>
        <v>0</v>
      </c>
    </row>
    <row r="114" spans="2:17" x14ac:dyDescent="0.25">
      <c r="B114" s="6"/>
      <c r="C114" s="7"/>
      <c r="D114" s="7"/>
      <c r="E114" s="7"/>
      <c r="F114" s="7"/>
      <c r="G114" s="7"/>
      <c r="H114" s="7"/>
      <c r="I114" s="6"/>
      <c r="N114" s="4" t="s">
        <v>281</v>
      </c>
      <c r="O114" s="4">
        <v>1</v>
      </c>
      <c r="P114" s="4">
        <v>1</v>
      </c>
      <c r="Q114" s="4">
        <f>P114</f>
        <v>1</v>
      </c>
    </row>
    <row r="115" spans="2:17" x14ac:dyDescent="0.25">
      <c r="B115" s="6"/>
      <c r="C115" s="7"/>
      <c r="D115" s="7"/>
      <c r="E115" s="9"/>
      <c r="F115" s="7"/>
      <c r="G115" s="7"/>
      <c r="H115" s="7"/>
      <c r="I115" s="6"/>
      <c r="N115" s="4" t="s">
        <v>244</v>
      </c>
      <c r="O115" s="4" t="s">
        <v>266</v>
      </c>
      <c r="P115" s="4" t="s">
        <v>266</v>
      </c>
      <c r="Q115" s="4">
        <f>IFERROR(INDEX(Options!A280:A287,Report!P114),"error_result")</f>
        <v>0</v>
      </c>
    </row>
    <row r="116" spans="2:17" x14ac:dyDescent="0.25">
      <c r="B116" s="6"/>
      <c r="C116" s="7"/>
      <c r="D116" s="7"/>
      <c r="E116" s="7"/>
      <c r="F116" s="7"/>
      <c r="G116" s="7"/>
      <c r="H116" s="7"/>
      <c r="I116" s="6"/>
      <c r="N116" s="4" t="s">
        <v>282</v>
      </c>
      <c r="O116" s="4">
        <v>1</v>
      </c>
      <c r="P116" s="4">
        <v>1</v>
      </c>
      <c r="Q116" s="4">
        <f>P116</f>
        <v>1</v>
      </c>
    </row>
    <row r="117" spans="2:17" x14ac:dyDescent="0.25">
      <c r="B117" s="6"/>
      <c r="C117" s="7"/>
      <c r="D117" s="7"/>
      <c r="E117" s="9"/>
      <c r="F117" s="7"/>
      <c r="G117" s="9"/>
      <c r="H117" s="7"/>
      <c r="I117" s="6"/>
      <c r="N117" s="4" t="s">
        <v>245</v>
      </c>
      <c r="O117" s="4" t="s">
        <v>266</v>
      </c>
      <c r="P117" s="4" t="s">
        <v>266</v>
      </c>
      <c r="Q117" s="4">
        <f>IFERROR(INDEX(Options!$A$172:$A$176,Report!P116),"error_result")</f>
        <v>0</v>
      </c>
    </row>
    <row r="118" spans="2:17" x14ac:dyDescent="0.25">
      <c r="B118" s="6"/>
      <c r="C118" s="7"/>
      <c r="D118" s="7"/>
      <c r="E118" s="7"/>
      <c r="F118" s="7"/>
      <c r="G118" s="7"/>
      <c r="H118" s="7"/>
      <c r="I118" s="6"/>
      <c r="N118" s="4" t="s">
        <v>283</v>
      </c>
      <c r="O118" s="4">
        <v>1</v>
      </c>
      <c r="P118" s="4">
        <v>1</v>
      </c>
      <c r="Q118" s="4">
        <f>P118</f>
        <v>1</v>
      </c>
    </row>
    <row r="119" spans="2:17" x14ac:dyDescent="0.25">
      <c r="B119" s="6"/>
      <c r="C119" s="7"/>
      <c r="D119" s="7"/>
      <c r="E119" s="7"/>
      <c r="F119" s="7"/>
      <c r="G119" s="7"/>
      <c r="H119" s="7"/>
      <c r="I119" s="6"/>
      <c r="N119" s="4" t="s">
        <v>246</v>
      </c>
      <c r="O119" s="4" t="s">
        <v>266</v>
      </c>
      <c r="P119" s="4" t="s">
        <v>266</v>
      </c>
      <c r="Q119" s="4">
        <f>IFERROR(INDEX(Options!$A$178:$A$183,Report!P118),"error_result")</f>
        <v>0</v>
      </c>
    </row>
    <row r="120" spans="2:17" x14ac:dyDescent="0.25">
      <c r="B120" s="6"/>
      <c r="C120" s="15"/>
      <c r="D120" s="15"/>
      <c r="E120" s="15"/>
      <c r="F120" s="15"/>
      <c r="G120" s="15"/>
      <c r="H120" s="15"/>
      <c r="I120" s="6"/>
      <c r="N120" s="4" t="s">
        <v>284</v>
      </c>
      <c r="O120" s="4">
        <v>1</v>
      </c>
      <c r="P120" s="4">
        <v>1</v>
      </c>
      <c r="Q120" s="4">
        <f>P120</f>
        <v>1</v>
      </c>
    </row>
    <row r="121" spans="2:17" x14ac:dyDescent="0.25">
      <c r="B121" s="6"/>
      <c r="C121" s="15"/>
      <c r="D121" s="15"/>
      <c r="E121" s="15"/>
      <c r="F121" s="15"/>
      <c r="G121" s="15"/>
      <c r="H121" s="15"/>
      <c r="I121" s="6"/>
      <c r="N121" s="4" t="s">
        <v>247</v>
      </c>
      <c r="O121" s="4" t="s">
        <v>266</v>
      </c>
      <c r="P121" s="4" t="s">
        <v>266</v>
      </c>
      <c r="Q121" s="4">
        <f>IFERROR(INDEX(Options!$A$185:$A$191,Report!P120),"error_result")</f>
        <v>0</v>
      </c>
    </row>
    <row r="122" spans="2:17" x14ac:dyDescent="0.25">
      <c r="B122" s="6"/>
      <c r="C122" s="15"/>
      <c r="D122" s="15"/>
      <c r="E122" s="15"/>
      <c r="F122" s="15"/>
      <c r="G122" s="15"/>
      <c r="H122" s="15"/>
      <c r="I122" s="6"/>
      <c r="N122" s="4" t="s">
        <v>248</v>
      </c>
      <c r="O122" s="4">
        <v>0</v>
      </c>
      <c r="P122" s="4">
        <v>0</v>
      </c>
      <c r="Q122" s="4">
        <f>E170</f>
        <v>0</v>
      </c>
    </row>
    <row r="123" spans="2:17" x14ac:dyDescent="0.25">
      <c r="B123" s="6"/>
      <c r="C123" s="15"/>
      <c r="D123" s="15"/>
      <c r="E123" s="15"/>
      <c r="F123" s="15"/>
      <c r="G123" s="15"/>
      <c r="H123" s="15"/>
      <c r="I123" s="6"/>
      <c r="N123" s="4" t="s">
        <v>249</v>
      </c>
      <c r="O123" s="4">
        <v>0</v>
      </c>
      <c r="P123" s="4">
        <v>0</v>
      </c>
      <c r="Q123" s="4" t="str">
        <f>F170</f>
        <v/>
      </c>
    </row>
    <row r="124" spans="2:17" x14ac:dyDescent="0.25">
      <c r="B124" s="6"/>
      <c r="C124" s="7"/>
      <c r="D124" s="7"/>
      <c r="E124" s="7"/>
      <c r="F124" s="7"/>
      <c r="G124" s="7"/>
      <c r="H124" s="7"/>
      <c r="I124" s="6"/>
      <c r="N124" s="4" t="s">
        <v>285</v>
      </c>
      <c r="O124" s="4">
        <v>1</v>
      </c>
      <c r="P124" s="4">
        <v>1</v>
      </c>
      <c r="Q124" s="4">
        <f>P124</f>
        <v>1</v>
      </c>
    </row>
    <row r="125" spans="2:17" x14ac:dyDescent="0.25">
      <c r="B125" s="6"/>
      <c r="C125" s="7"/>
      <c r="D125" s="7"/>
      <c r="E125" s="7"/>
      <c r="F125" s="7"/>
      <c r="G125" s="7"/>
      <c r="H125" s="7"/>
      <c r="I125" s="6"/>
      <c r="N125" s="4" t="s">
        <v>250</v>
      </c>
      <c r="O125" s="4" t="s">
        <v>266</v>
      </c>
      <c r="P125" s="4" t="s">
        <v>266</v>
      </c>
      <c r="Q125" s="4" cm="1">
        <f t="array" ref="Q125">INDEX(Options!$A$216:$A$220,Report!P124)</f>
        <v>0</v>
      </c>
    </row>
    <row r="126" spans="2:17" x14ac:dyDescent="0.25">
      <c r="B126" s="6"/>
      <c r="C126" s="15"/>
      <c r="D126" s="15"/>
      <c r="E126" s="15"/>
      <c r="F126" s="15"/>
      <c r="G126" s="15"/>
      <c r="H126" s="15"/>
      <c r="I126" s="6"/>
      <c r="N126" s="4" t="s">
        <v>286</v>
      </c>
      <c r="O126" s="4">
        <v>1</v>
      </c>
      <c r="P126" s="4">
        <v>1</v>
      </c>
      <c r="Q126" s="4">
        <f>P126</f>
        <v>1</v>
      </c>
    </row>
    <row r="127" spans="2:17" x14ac:dyDescent="0.25">
      <c r="B127" s="6"/>
      <c r="C127" s="15"/>
      <c r="D127" s="15"/>
      <c r="E127" s="15"/>
      <c r="F127" s="15"/>
      <c r="G127" s="15"/>
      <c r="H127" s="15"/>
      <c r="I127" s="6"/>
      <c r="N127" s="4" t="s">
        <v>251</v>
      </c>
      <c r="O127" s="4" t="s">
        <v>266</v>
      </c>
      <c r="P127" s="4" t="s">
        <v>266</v>
      </c>
      <c r="Q127" s="4" cm="1">
        <f t="array" ref="Q127">INDEX(Options!$A$222:$A$226,P126)</f>
        <v>0</v>
      </c>
    </row>
    <row r="128" spans="2:17" x14ac:dyDescent="0.25">
      <c r="B128" s="6"/>
      <c r="C128" s="15"/>
      <c r="D128" s="15"/>
      <c r="E128" s="15"/>
      <c r="F128" s="15"/>
      <c r="G128" s="15"/>
      <c r="H128" s="15"/>
      <c r="I128" s="6"/>
      <c r="N128" s="4" t="s">
        <v>287</v>
      </c>
      <c r="O128" s="4">
        <v>1</v>
      </c>
      <c r="P128" s="4">
        <v>1</v>
      </c>
      <c r="Q128" s="4">
        <f>P128</f>
        <v>1</v>
      </c>
    </row>
    <row r="129" spans="2:17" x14ac:dyDescent="0.25">
      <c r="B129" s="6"/>
      <c r="C129" s="15"/>
      <c r="D129" s="15"/>
      <c r="E129" s="15"/>
      <c r="F129" s="15"/>
      <c r="G129" s="15"/>
      <c r="H129" s="15"/>
      <c r="I129" s="6"/>
      <c r="N129" s="4" t="s">
        <v>252</v>
      </c>
      <c r="O129" s="4" t="s">
        <v>266</v>
      </c>
      <c r="P129" s="4" t="s">
        <v>266</v>
      </c>
      <c r="Q129" s="4" cm="1">
        <f t="array" ref="Q129">INDEX(Options!$A$228:$A$231,Report!P128)</f>
        <v>0</v>
      </c>
    </row>
    <row r="130" spans="2:17" x14ac:dyDescent="0.25">
      <c r="B130" s="6"/>
      <c r="C130" s="15"/>
      <c r="D130" s="15"/>
      <c r="E130" s="15"/>
      <c r="F130" s="15"/>
      <c r="G130" s="15"/>
      <c r="H130" s="15"/>
      <c r="I130" s="6"/>
      <c r="N130" s="4" t="s">
        <v>253</v>
      </c>
      <c r="O130" s="4" t="b">
        <v>0</v>
      </c>
      <c r="P130" s="4" t="b">
        <v>0</v>
      </c>
      <c r="Q130" s="4" t="b">
        <f>P130</f>
        <v>0</v>
      </c>
    </row>
    <row r="131" spans="2:17" x14ac:dyDescent="0.25">
      <c r="B131" s="6"/>
      <c r="C131" s="7"/>
      <c r="D131" s="7"/>
      <c r="E131" s="7"/>
      <c r="F131" s="7"/>
      <c r="G131" s="7"/>
      <c r="H131" s="7"/>
      <c r="I131" s="6"/>
      <c r="N131" s="4" t="s">
        <v>254</v>
      </c>
      <c r="O131" s="4" t="b">
        <v>0</v>
      </c>
      <c r="P131" s="4" t="b">
        <v>0</v>
      </c>
      <c r="Q131" s="4" t="b">
        <f>P131</f>
        <v>0</v>
      </c>
    </row>
    <row r="132" spans="2:17" x14ac:dyDescent="0.25">
      <c r="B132" s="6"/>
      <c r="C132" s="6"/>
      <c r="D132" s="6"/>
      <c r="E132" s="6"/>
      <c r="F132" s="6"/>
      <c r="G132" s="6"/>
      <c r="H132" s="6"/>
      <c r="I132" s="6"/>
      <c r="N132" s="4" t="s">
        <v>255</v>
      </c>
      <c r="O132" s="4" t="b">
        <v>0</v>
      </c>
      <c r="P132" s="4" t="b">
        <v>0</v>
      </c>
      <c r="Q132" s="4" t="b">
        <f>P132</f>
        <v>0</v>
      </c>
    </row>
    <row r="133" spans="2:17" x14ac:dyDescent="0.25">
      <c r="N133" s="4" t="s">
        <v>256</v>
      </c>
      <c r="O133" s="4" t="b">
        <v>0</v>
      </c>
      <c r="P133" s="4" t="b">
        <v>0</v>
      </c>
      <c r="Q133" s="4" t="b">
        <f>P133</f>
        <v>0</v>
      </c>
    </row>
    <row r="134" spans="2:17" x14ac:dyDescent="0.25">
      <c r="B134" s="6"/>
      <c r="C134" s="6"/>
      <c r="D134" s="6"/>
      <c r="E134" s="6"/>
      <c r="F134" s="6"/>
      <c r="G134" s="6"/>
      <c r="H134" s="6"/>
      <c r="I134" s="6"/>
      <c r="J134" s="6"/>
      <c r="N134" s="4" t="s">
        <v>257</v>
      </c>
      <c r="O134" s="4">
        <v>0</v>
      </c>
      <c r="P134" s="4">
        <v>0</v>
      </c>
      <c r="Q134" s="4">
        <f>E188</f>
        <v>0</v>
      </c>
    </row>
    <row r="135" spans="2:17" x14ac:dyDescent="0.25">
      <c r="B135" s="6"/>
      <c r="C135" s="7"/>
      <c r="D135" s="7"/>
      <c r="E135" s="7"/>
      <c r="F135" s="7"/>
      <c r="G135" s="7"/>
      <c r="H135" s="7"/>
      <c r="I135" s="7"/>
      <c r="J135" s="6"/>
      <c r="N135" s="4" t="s">
        <v>288</v>
      </c>
      <c r="O135" s="4">
        <v>1</v>
      </c>
      <c r="P135" s="4">
        <v>1</v>
      </c>
      <c r="Q135" s="4">
        <f>P135</f>
        <v>1</v>
      </c>
    </row>
    <row r="136" spans="2:17" x14ac:dyDescent="0.25">
      <c r="B136" s="6"/>
      <c r="C136" s="7"/>
      <c r="D136" s="7"/>
      <c r="E136" s="7"/>
      <c r="F136" s="7"/>
      <c r="G136" s="7"/>
      <c r="H136" s="7"/>
      <c r="I136" s="7"/>
      <c r="J136" s="6"/>
      <c r="N136" s="4" t="s">
        <v>258</v>
      </c>
      <c r="O136" s="4"/>
      <c r="P136" s="4" t="s">
        <v>139</v>
      </c>
      <c r="Q136" s="4">
        <f>INDEX(Options!A296:A298,Report!P135)</f>
        <v>0</v>
      </c>
    </row>
    <row r="137" spans="2:17" x14ac:dyDescent="0.25">
      <c r="B137" s="6"/>
      <c r="C137" s="7"/>
      <c r="D137" s="7"/>
      <c r="E137" s="7"/>
      <c r="F137" s="7"/>
      <c r="G137" s="7"/>
      <c r="H137" s="7"/>
      <c r="I137" s="7"/>
      <c r="J137" s="6"/>
    </row>
    <row r="138" spans="2:17" x14ac:dyDescent="0.25">
      <c r="B138" s="6"/>
      <c r="C138" s="7"/>
      <c r="D138" s="7"/>
      <c r="E138" s="7"/>
      <c r="F138" s="7"/>
      <c r="G138" s="7"/>
      <c r="H138" s="7"/>
      <c r="I138" s="7"/>
      <c r="J138" s="6"/>
    </row>
    <row r="139" spans="2:17" x14ac:dyDescent="0.25">
      <c r="B139" s="6"/>
      <c r="C139" s="7"/>
      <c r="D139" s="7"/>
      <c r="E139" s="7"/>
      <c r="F139" s="7"/>
      <c r="G139" s="7"/>
      <c r="H139" s="7"/>
      <c r="I139" s="7"/>
      <c r="J139" s="6"/>
    </row>
    <row r="140" spans="2:17" x14ac:dyDescent="0.25">
      <c r="B140" s="6"/>
      <c r="C140" s="7"/>
      <c r="D140" s="7"/>
      <c r="E140" s="7"/>
      <c r="F140" s="7"/>
      <c r="G140" s="7"/>
      <c r="H140" s="7"/>
      <c r="I140" s="7"/>
      <c r="J140" s="6"/>
    </row>
    <row r="141" spans="2:17" x14ac:dyDescent="0.25">
      <c r="B141" s="6"/>
      <c r="C141" s="7"/>
      <c r="D141" s="7"/>
      <c r="E141" s="7"/>
      <c r="F141" s="7"/>
      <c r="G141" s="7"/>
      <c r="H141" s="7"/>
      <c r="I141" s="7"/>
      <c r="J141" s="6"/>
    </row>
    <row r="142" spans="2:17" x14ac:dyDescent="0.25">
      <c r="B142" s="6"/>
      <c r="C142" s="7"/>
      <c r="D142" s="7"/>
      <c r="E142" s="7"/>
      <c r="F142" s="7"/>
      <c r="G142" s="7"/>
      <c r="H142" s="7"/>
      <c r="I142" s="7"/>
      <c r="J142" s="6"/>
    </row>
    <row r="143" spans="2:17" x14ac:dyDescent="0.25">
      <c r="B143" s="6"/>
      <c r="C143" s="7"/>
      <c r="D143" s="7"/>
      <c r="E143" s="7"/>
      <c r="F143" s="7"/>
      <c r="G143" s="7"/>
      <c r="H143" s="7"/>
      <c r="I143" s="7"/>
      <c r="J143" s="6"/>
    </row>
    <row r="144" spans="2:17" x14ac:dyDescent="0.25">
      <c r="B144" s="6"/>
      <c r="C144" s="7"/>
      <c r="D144" s="7"/>
      <c r="E144" s="7"/>
      <c r="F144" s="7"/>
      <c r="G144" s="7"/>
      <c r="H144" s="7"/>
      <c r="I144" s="7"/>
      <c r="J144" s="6"/>
    </row>
    <row r="145" spans="2:10" x14ac:dyDescent="0.25">
      <c r="B145" s="6"/>
      <c r="C145" s="7"/>
      <c r="D145" s="7"/>
      <c r="E145" s="7"/>
      <c r="F145" s="7"/>
      <c r="G145" s="7"/>
      <c r="H145" s="7"/>
      <c r="I145" s="7"/>
      <c r="J145" s="6"/>
    </row>
    <row r="146" spans="2:10" x14ac:dyDescent="0.25">
      <c r="B146" s="6"/>
      <c r="C146" s="7"/>
      <c r="D146" s="7"/>
      <c r="E146" s="7"/>
      <c r="F146" s="7"/>
      <c r="G146" s="7"/>
      <c r="H146" s="7"/>
      <c r="I146" s="7"/>
      <c r="J146" s="6"/>
    </row>
    <row r="147" spans="2:10" x14ac:dyDescent="0.25">
      <c r="B147" s="6"/>
      <c r="C147" s="6"/>
      <c r="D147" s="6"/>
      <c r="E147" s="6"/>
      <c r="F147" s="6"/>
      <c r="G147" s="6"/>
      <c r="H147" s="6"/>
      <c r="I147" s="6"/>
      <c r="J147" s="6"/>
    </row>
    <row r="148" spans="2:10" x14ac:dyDescent="0.25">
      <c r="B148" s="6"/>
      <c r="C148" s="7"/>
      <c r="D148" s="7"/>
      <c r="E148" s="7"/>
      <c r="F148" s="7"/>
      <c r="G148" s="7"/>
      <c r="H148" s="7"/>
      <c r="I148" s="6"/>
      <c r="J148" s="6"/>
    </row>
    <row r="149" spans="2:10" x14ac:dyDescent="0.25">
      <c r="B149" s="6"/>
      <c r="C149" s="15"/>
      <c r="D149" s="15"/>
      <c r="E149" s="15"/>
      <c r="F149" s="15"/>
      <c r="G149" s="15"/>
      <c r="H149" s="15"/>
      <c r="I149" s="6"/>
      <c r="J149" s="6"/>
    </row>
    <row r="150" spans="2:10" x14ac:dyDescent="0.25">
      <c r="B150" s="6"/>
      <c r="C150" s="15"/>
      <c r="D150" s="15"/>
      <c r="E150" s="15"/>
      <c r="F150" s="15"/>
      <c r="G150" s="15"/>
      <c r="H150" s="15"/>
      <c r="I150" s="6"/>
      <c r="J150" s="6"/>
    </row>
    <row r="151" spans="2:10" x14ac:dyDescent="0.25">
      <c r="B151" s="6"/>
      <c r="C151" s="15"/>
      <c r="D151" s="15"/>
      <c r="E151" s="15"/>
      <c r="F151" s="15"/>
      <c r="G151" s="15"/>
      <c r="H151" s="15"/>
      <c r="I151" s="6"/>
      <c r="J151" s="6"/>
    </row>
    <row r="152" spans="2:10" x14ac:dyDescent="0.25">
      <c r="B152" s="6"/>
      <c r="C152" s="15"/>
      <c r="D152" s="15"/>
      <c r="E152" s="15"/>
      <c r="F152" s="15"/>
      <c r="G152" s="15"/>
      <c r="H152" s="15"/>
      <c r="I152" s="6"/>
      <c r="J152" s="6"/>
    </row>
    <row r="153" spans="2:10" x14ac:dyDescent="0.25">
      <c r="B153" s="6"/>
      <c r="C153" s="6"/>
      <c r="D153" s="6"/>
      <c r="E153" s="6"/>
      <c r="F153" s="6"/>
      <c r="G153" s="6"/>
      <c r="H153" s="6"/>
      <c r="I153" s="6"/>
      <c r="J153" s="6"/>
    </row>
    <row r="154" spans="2:10" x14ac:dyDescent="0.25">
      <c r="B154" s="6"/>
      <c r="C154" s="7"/>
      <c r="D154" s="7"/>
      <c r="E154" s="7"/>
      <c r="F154" s="7"/>
      <c r="G154" s="6"/>
      <c r="H154" s="6"/>
      <c r="I154" s="6"/>
      <c r="J154" s="6"/>
    </row>
    <row r="155" spans="2:10" x14ac:dyDescent="0.25">
      <c r="B155" s="6"/>
      <c r="C155" s="7"/>
      <c r="D155" s="7"/>
      <c r="E155" s="7"/>
      <c r="F155" s="7"/>
      <c r="G155" s="6"/>
      <c r="H155" s="6"/>
      <c r="I155" s="6"/>
      <c r="J155" s="6"/>
    </row>
    <row r="156" spans="2:10" x14ac:dyDescent="0.25">
      <c r="B156" s="6"/>
      <c r="C156" s="7"/>
      <c r="D156" s="7"/>
      <c r="E156" s="7"/>
      <c r="F156" s="7"/>
      <c r="G156" s="6"/>
      <c r="H156" s="6"/>
      <c r="I156" s="6"/>
      <c r="J156" s="6"/>
    </row>
    <row r="157" spans="2:10" x14ac:dyDescent="0.25">
      <c r="B157" s="6"/>
      <c r="C157" s="6"/>
      <c r="D157" s="6"/>
      <c r="E157" s="6"/>
      <c r="F157" s="6"/>
      <c r="G157" s="6"/>
      <c r="H157" s="6"/>
      <c r="I157" s="6"/>
      <c r="J157" s="6"/>
    </row>
    <row r="158" spans="2:10" x14ac:dyDescent="0.25">
      <c r="B158" s="6"/>
      <c r="C158" s="7"/>
      <c r="D158" s="7"/>
      <c r="E158" s="7"/>
      <c r="F158" s="7"/>
      <c r="G158" s="6"/>
      <c r="H158" s="6"/>
      <c r="I158" s="6"/>
      <c r="J158" s="6"/>
    </row>
    <row r="159" spans="2:10" x14ac:dyDescent="0.25">
      <c r="B159" s="6"/>
      <c r="C159" s="7"/>
      <c r="D159" s="7"/>
      <c r="E159" s="7"/>
      <c r="F159" s="7"/>
      <c r="G159" s="6"/>
      <c r="H159" s="6"/>
      <c r="I159" s="6"/>
      <c r="J159" s="6"/>
    </row>
    <row r="160" spans="2:10" x14ac:dyDescent="0.25">
      <c r="B160" s="6"/>
      <c r="C160" s="7"/>
      <c r="D160" s="7"/>
      <c r="E160" s="7"/>
      <c r="F160" s="7"/>
      <c r="G160" s="6"/>
      <c r="H160" s="6"/>
      <c r="I160" s="6"/>
      <c r="J160" s="6"/>
    </row>
    <row r="161" spans="2:10" x14ac:dyDescent="0.25">
      <c r="B161" s="6"/>
      <c r="C161" s="6"/>
      <c r="D161" s="6"/>
      <c r="E161" s="6"/>
      <c r="F161" s="6"/>
      <c r="G161" s="6"/>
      <c r="H161" s="6"/>
      <c r="I161" s="6"/>
      <c r="J161" s="6"/>
    </row>
    <row r="162" spans="2:10" x14ac:dyDescent="0.25">
      <c r="B162" s="6"/>
      <c r="C162" s="7"/>
      <c r="D162" s="7"/>
      <c r="E162" s="7"/>
      <c r="F162" s="7"/>
      <c r="G162" s="7"/>
      <c r="H162" s="6"/>
      <c r="I162" s="6"/>
      <c r="J162" s="6"/>
    </row>
    <row r="163" spans="2:10" x14ac:dyDescent="0.25">
      <c r="B163" s="6"/>
      <c r="C163" s="7"/>
      <c r="D163" s="7"/>
      <c r="E163" s="7"/>
      <c r="F163" s="7"/>
      <c r="G163" s="7"/>
      <c r="H163" s="6"/>
      <c r="I163" s="6"/>
      <c r="J163" s="6"/>
    </row>
    <row r="164" spans="2:10" x14ac:dyDescent="0.25">
      <c r="B164" s="6"/>
      <c r="C164" s="7"/>
      <c r="D164" s="7"/>
      <c r="E164" s="7"/>
      <c r="F164" s="7"/>
      <c r="G164" s="7"/>
      <c r="H164" s="6"/>
      <c r="I164" s="6"/>
      <c r="J164" s="6"/>
    </row>
    <row r="165" spans="2:10" x14ac:dyDescent="0.25">
      <c r="B165" s="6"/>
      <c r="C165" s="7"/>
      <c r="D165" s="7"/>
      <c r="E165" s="7"/>
      <c r="F165" s="7"/>
      <c r="G165" s="7"/>
      <c r="H165" s="6"/>
      <c r="I165" s="6"/>
      <c r="J165" s="6"/>
    </row>
    <row r="166" spans="2:10" x14ac:dyDescent="0.25">
      <c r="B166" s="6"/>
      <c r="C166" s="7"/>
      <c r="D166" s="7"/>
      <c r="E166" s="7"/>
      <c r="F166" s="7"/>
      <c r="G166" s="7"/>
      <c r="H166" s="6"/>
      <c r="I166" s="6"/>
      <c r="J166" s="6"/>
    </row>
    <row r="167" spans="2:10" x14ac:dyDescent="0.25">
      <c r="B167" s="6"/>
      <c r="C167" s="7"/>
      <c r="D167" s="7"/>
      <c r="E167" s="7"/>
      <c r="F167" s="7"/>
      <c r="G167" s="7"/>
      <c r="H167" s="6"/>
      <c r="I167" s="6"/>
      <c r="J167" s="6"/>
    </row>
    <row r="168" spans="2:10" x14ac:dyDescent="0.25">
      <c r="B168" s="6"/>
      <c r="C168" s="7"/>
      <c r="D168" s="7"/>
      <c r="E168" s="7"/>
      <c r="F168" s="7"/>
      <c r="G168" s="7"/>
      <c r="H168" s="6"/>
      <c r="I168" s="6"/>
      <c r="J168" s="6"/>
    </row>
    <row r="169" spans="2:10" x14ac:dyDescent="0.25">
      <c r="B169" s="6"/>
      <c r="C169" s="7"/>
      <c r="D169" s="7"/>
      <c r="E169" s="7"/>
      <c r="F169" s="7"/>
      <c r="G169" s="7"/>
      <c r="H169" s="6"/>
      <c r="I169" s="6"/>
      <c r="J169" s="6"/>
    </row>
    <row r="170" spans="2:10" x14ac:dyDescent="0.25">
      <c r="B170" s="6"/>
      <c r="C170" s="7"/>
      <c r="D170" s="7"/>
      <c r="E170" s="7">
        <f>SUM(R5,R6,R7)</f>
        <v>0</v>
      </c>
      <c r="F170" s="8" t="str">
        <f>IF(E170=0,"",IF(E170&gt;=Options!$A$193,Options!$B$193,IF(E170&gt;=Options!$A$194,Options!$B$194,Options!$B$195)))</f>
        <v/>
      </c>
      <c r="G170" s="7"/>
      <c r="H170" s="6"/>
      <c r="I170" s="6"/>
      <c r="J170" s="6"/>
    </row>
    <row r="171" spans="2:10" x14ac:dyDescent="0.25">
      <c r="B171" s="6"/>
      <c r="C171" s="7"/>
      <c r="D171" s="7"/>
      <c r="E171" s="7"/>
      <c r="F171" s="7"/>
      <c r="G171" s="7"/>
      <c r="H171" s="6"/>
      <c r="I171" s="6"/>
      <c r="J171" s="6"/>
    </row>
    <row r="172" spans="2:10" x14ac:dyDescent="0.25">
      <c r="B172" s="6"/>
      <c r="C172" s="7"/>
      <c r="D172" s="7"/>
      <c r="E172" s="7"/>
      <c r="F172" s="7"/>
      <c r="G172" s="7"/>
      <c r="H172" s="6"/>
      <c r="I172" s="6"/>
      <c r="J172" s="6"/>
    </row>
    <row r="173" spans="2:10" x14ac:dyDescent="0.25">
      <c r="B173" s="6"/>
      <c r="C173" s="6"/>
      <c r="D173" s="6"/>
      <c r="E173" s="6"/>
      <c r="F173" s="6"/>
      <c r="G173" s="6"/>
      <c r="H173" s="6"/>
      <c r="I173" s="6"/>
      <c r="J173" s="6"/>
    </row>
    <row r="174" spans="2:10" x14ac:dyDescent="0.25">
      <c r="B174" s="6"/>
      <c r="C174" s="7"/>
      <c r="D174" s="7"/>
      <c r="E174" s="7"/>
      <c r="F174" s="7"/>
      <c r="G174" s="7"/>
      <c r="H174" s="7"/>
      <c r="I174" s="7"/>
      <c r="J174" s="6"/>
    </row>
    <row r="175" spans="2:10" x14ac:dyDescent="0.25">
      <c r="B175" s="6"/>
      <c r="C175" s="7"/>
      <c r="D175" s="7"/>
      <c r="E175" s="7"/>
      <c r="F175" s="7"/>
      <c r="G175" s="7"/>
      <c r="H175" s="7"/>
      <c r="I175" s="7"/>
      <c r="J175" s="6"/>
    </row>
    <row r="176" spans="2:10" x14ac:dyDescent="0.25">
      <c r="B176" s="6"/>
      <c r="C176" s="7"/>
      <c r="D176" s="7"/>
      <c r="E176" s="7"/>
      <c r="F176" s="7"/>
      <c r="G176" s="7"/>
      <c r="H176" s="7"/>
      <c r="I176" s="7"/>
      <c r="J176" s="6"/>
    </row>
    <row r="177" spans="2:10" x14ac:dyDescent="0.25">
      <c r="B177" s="6"/>
      <c r="C177" s="7"/>
      <c r="D177" s="7"/>
      <c r="E177" s="7"/>
      <c r="F177" s="7"/>
      <c r="G177" s="7"/>
      <c r="H177" s="7"/>
      <c r="I177" s="7"/>
      <c r="J177" s="6"/>
    </row>
    <row r="178" spans="2:10" x14ac:dyDescent="0.25">
      <c r="B178" s="6"/>
      <c r="C178" s="7"/>
      <c r="D178" s="7"/>
      <c r="E178" s="7"/>
      <c r="F178" s="7"/>
      <c r="G178" s="7"/>
      <c r="H178" s="7"/>
      <c r="I178" s="7"/>
      <c r="J178" s="6"/>
    </row>
    <row r="179" spans="2:10" x14ac:dyDescent="0.25">
      <c r="B179" s="6"/>
      <c r="C179" s="7"/>
      <c r="D179" s="7"/>
      <c r="E179" s="7"/>
      <c r="F179" s="7"/>
      <c r="G179" s="7"/>
      <c r="H179" s="7"/>
      <c r="I179" s="7"/>
      <c r="J179" s="6"/>
    </row>
    <row r="180" spans="2:10" x14ac:dyDescent="0.25">
      <c r="B180" s="6"/>
      <c r="C180" s="7"/>
      <c r="D180" s="7"/>
      <c r="E180" s="7"/>
      <c r="F180" s="7"/>
      <c r="G180" s="7"/>
      <c r="H180" s="7"/>
      <c r="I180" s="7"/>
      <c r="J180" s="6"/>
    </row>
    <row r="181" spans="2:10" x14ac:dyDescent="0.25">
      <c r="B181" s="6"/>
      <c r="C181" s="6"/>
      <c r="D181" s="6"/>
      <c r="E181" s="6"/>
      <c r="F181" s="6"/>
      <c r="G181" s="6"/>
      <c r="H181" s="6"/>
      <c r="I181" s="6"/>
      <c r="J181" s="6"/>
    </row>
    <row r="182" spans="2:10" x14ac:dyDescent="0.25">
      <c r="B182" s="6"/>
      <c r="C182" s="7"/>
      <c r="D182" s="7"/>
      <c r="E182" s="7"/>
      <c r="F182" s="6"/>
      <c r="G182" s="6"/>
      <c r="H182" s="6"/>
      <c r="I182" s="6"/>
      <c r="J182" s="6"/>
    </row>
    <row r="183" spans="2:10" x14ac:dyDescent="0.25">
      <c r="B183" s="6"/>
      <c r="C183" s="7"/>
      <c r="D183" s="7"/>
      <c r="E183" s="7"/>
      <c r="F183" s="6"/>
      <c r="G183" s="6"/>
      <c r="H183" s="6"/>
      <c r="I183" s="6"/>
      <c r="J183" s="6"/>
    </row>
    <row r="184" spans="2:10" x14ac:dyDescent="0.25">
      <c r="B184" s="6"/>
      <c r="C184" s="7"/>
      <c r="D184" s="7"/>
      <c r="E184" s="7"/>
      <c r="F184" s="6"/>
      <c r="G184" s="6"/>
      <c r="H184" s="6"/>
      <c r="I184" s="6"/>
      <c r="J184" s="6"/>
    </row>
    <row r="185" spans="2:10" x14ac:dyDescent="0.25">
      <c r="B185" s="6"/>
      <c r="C185" s="7"/>
      <c r="D185" s="7"/>
      <c r="E185" s="7"/>
      <c r="F185" s="6"/>
      <c r="G185" s="6"/>
      <c r="H185" s="6"/>
      <c r="I185" s="6"/>
      <c r="J185" s="6"/>
    </row>
    <row r="186" spans="2:10" x14ac:dyDescent="0.25">
      <c r="B186" s="6"/>
      <c r="C186" s="7"/>
      <c r="D186" s="7"/>
      <c r="E186" s="7"/>
      <c r="F186" s="6"/>
      <c r="G186" s="6"/>
      <c r="H186" s="6"/>
      <c r="I186" s="6"/>
      <c r="J186" s="6"/>
    </row>
    <row r="187" spans="2:10" x14ac:dyDescent="0.25">
      <c r="B187" s="6"/>
      <c r="C187" s="7"/>
      <c r="D187" s="7"/>
      <c r="E187" s="7"/>
      <c r="F187" s="6"/>
      <c r="G187" s="6"/>
      <c r="H187" s="6"/>
      <c r="I187" s="6"/>
      <c r="J187" s="6"/>
    </row>
    <row r="188" spans="2:10" x14ac:dyDescent="0.25">
      <c r="B188" s="6"/>
      <c r="C188" s="7"/>
      <c r="D188" s="7"/>
      <c r="E188" s="7">
        <f>COUNTIF(P130:P133,TRUE)</f>
        <v>0</v>
      </c>
      <c r="F188" s="6"/>
      <c r="G188" s="6"/>
      <c r="H188" s="6"/>
      <c r="I188" s="6"/>
      <c r="J188" s="6"/>
    </row>
    <row r="189" spans="2:10" x14ac:dyDescent="0.25">
      <c r="B189" s="6"/>
      <c r="C189" s="6"/>
      <c r="D189" s="6"/>
      <c r="E189" s="6"/>
      <c r="F189" s="6"/>
      <c r="G189" s="6"/>
      <c r="H189" s="6"/>
      <c r="I189" s="6"/>
      <c r="J189" s="6"/>
    </row>
    <row r="191" spans="2:10" x14ac:dyDescent="0.25">
      <c r="B191" s="6"/>
      <c r="C191" s="6"/>
      <c r="D191" s="6"/>
      <c r="E191" s="6"/>
      <c r="F191" s="6"/>
    </row>
    <row r="192" spans="2:10" x14ac:dyDescent="0.25">
      <c r="B192" s="6"/>
      <c r="C192" s="6"/>
      <c r="D192" s="6"/>
      <c r="E192" s="6"/>
      <c r="F192" s="6"/>
    </row>
    <row r="193" spans="2:6" x14ac:dyDescent="0.25">
      <c r="B193" s="6"/>
      <c r="C193" s="6"/>
      <c r="D193" s="6"/>
      <c r="E193" s="6"/>
      <c r="F193" s="6"/>
    </row>
  </sheetData>
  <protectedRanges>
    <protectedRange algorithmName="SHA-512" hashValue="S66WU2iqSW60hQPWl/yX/dXYrrLGZHs8swCcrveV7IhGAabPZOAjRVsPAWZqzRQ5gTgoKgUBkzTtXqBmuT/pmg==" saltValue="RUjcUZk1KQRhNf2pSaa0pg==" spinCount="100000" sqref="C37 C43 E88 E94 E115 E117 G117 C120 C126 C149 E188 E170 Q44 Q5 R99:R136 Q2:Q3 Q7:Q34 Q36:Q38 Q40 Q42 Q46:Q48 Q50 Q52 Q54:Q59 Q61:Q62 Q64:Q65 Q67 Q69 Q71 Q73:Q111 Q113 Q115 Q117 Q119 Q121:Q123 Q125 Q127 Q129:Q134 Q136 P140:R1048576 R2:R62" name="Nurse" securityDescriptor="O:WDG:WDD:(A;;CC;;;WD)"/>
  </protectedRanges>
  <mergeCells count="7">
    <mergeCell ref="C149:H152"/>
    <mergeCell ref="C37:H40"/>
    <mergeCell ref="C43:H46"/>
    <mergeCell ref="E88:G90"/>
    <mergeCell ref="E94:G95"/>
    <mergeCell ref="C120:H123"/>
    <mergeCell ref="C126:H1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4" name="Group Box 5">
              <controlPr defaultSize="0" autoFill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Option Button 6">
              <controlPr locked="0" defaultSize="0" autoFill="0" autoLine="0" autoPict="0">
                <anchor moveWithCells="1">
                  <from>
                    <xdr:col>2</xdr:col>
                    <xdr:colOff>123825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Option Button 9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485775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Fill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Drop Down 13">
              <controlPr locked="0" defaultSize="0" autoLine="0" autoPict="0">
                <anchor moveWithCells="1">
                  <from>
                    <xdr:col>2</xdr:col>
                    <xdr:colOff>371475</xdr:colOff>
                    <xdr:row>12</xdr:row>
                    <xdr:rowOff>0</xdr:rowOff>
                  </from>
                  <to>
                    <xdr:col>5</xdr:col>
                    <xdr:colOff>371475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Group Box 14">
              <controlPr defaultSize="0" autoFill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Drop Down 15">
              <controlPr locked="0" defaultSize="0" autoLine="0" autoPict="0">
                <anchor moveWithCells="1">
                  <from>
                    <xdr:col>2</xdr:col>
                    <xdr:colOff>409575</xdr:colOff>
                    <xdr:row>15</xdr:row>
                    <xdr:rowOff>190500</xdr:rowOff>
                  </from>
                  <to>
                    <xdr:col>5</xdr:col>
                    <xdr:colOff>200025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1" name="Group Box 17">
              <controlPr defaultSize="0" autoFill="0" autoPict="0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2" name="Drop Down 19">
              <controlPr defaultSize="0" autoLine="0" autoPict="0">
                <anchor moveWithCells="1">
                  <from>
                    <xdr:col>2</xdr:col>
                    <xdr:colOff>219075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3" name="Group Box 20">
              <controlPr defaultSize="0" autoFill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4" name="Label 23">
              <controlPr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0</xdr:rowOff>
                  </from>
                  <to>
                    <xdr:col>3</xdr:col>
                    <xdr:colOff>400050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5" name="Label 24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58</xdr:row>
                    <xdr:rowOff>0</xdr:rowOff>
                  </from>
                  <to>
                    <xdr:col>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6" name="Label 25">
              <controlPr defaultSize="0" autoFill="0" autoLine="0" autoPict="0">
                <anchor moveWithCells="1">
                  <from>
                    <xdr:col>2</xdr:col>
                    <xdr:colOff>0</xdr:colOff>
                    <xdr:row>60</xdr:row>
                    <xdr:rowOff>0</xdr:rowOff>
                  </from>
                  <to>
                    <xdr:col>3</xdr:col>
                    <xdr:colOff>400050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7" name="Drop Down 26">
              <controlPr defaultSize="0" autoLine="0" autoPict="0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18" name="Drop Down 27">
              <controlPr defaultSize="0" autoLine="0" autoPict="0">
                <anchor moveWithCells="1">
                  <from>
                    <xdr:col>4</xdr:col>
                    <xdr:colOff>0</xdr:colOff>
                    <xdr:row>57</xdr:row>
                    <xdr:rowOff>180975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19" name="Drop Down 28">
              <controlPr defaultSize="0" autoLine="0" autoPict="0">
                <anchor moveWithCells="1">
                  <from>
                    <xdr:col>4</xdr:col>
                    <xdr:colOff>0</xdr:colOff>
                    <xdr:row>59</xdr:row>
                    <xdr:rowOff>180975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0" name="Group Box 30">
              <controlPr defaultSize="0" autoFill="0" autoPict="0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1" name="Label 32">
              <controlPr defaultSize="0" autoFill="0" autoLine="0" autoPict="0">
                <anchor moveWithCells="1">
                  <from>
                    <xdr:col>2</xdr:col>
                    <xdr:colOff>0</xdr:colOff>
                    <xdr:row>67</xdr:row>
                    <xdr:rowOff>0</xdr:rowOff>
                  </from>
                  <to>
                    <xdr:col>3</xdr:col>
                    <xdr:colOff>400050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2" name="Label 33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69</xdr:row>
                    <xdr:rowOff>9525</xdr:rowOff>
                  </from>
                  <to>
                    <xdr:col>3</xdr:col>
                    <xdr:colOff>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3" name="Label 34">
              <controlPr defaultSize="0" autoFill="0" autoLine="0" autoPict="0">
                <anchor moveWithCells="1">
                  <from>
                    <xdr:col>2</xdr:col>
                    <xdr:colOff>0</xdr:colOff>
                    <xdr:row>71</xdr:row>
                    <xdr:rowOff>0</xdr:rowOff>
                  </from>
                  <to>
                    <xdr:col>3</xdr:col>
                    <xdr:colOff>400050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24" name="Drop Down 35">
              <controlPr defaultSize="0" autoLine="0" autoPict="0">
                <anchor mov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8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25" name="Drop Down 37">
              <controlPr defaultSize="0" autoLine="0" autoPict="0">
                <anchor moveWithCells="1">
                  <from>
                    <xdr:col>3</xdr:col>
                    <xdr:colOff>0</xdr:colOff>
                    <xdr:row>70</xdr:row>
                    <xdr:rowOff>180975</xdr:rowOff>
                  </from>
                  <to>
                    <xdr:col>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26" name="Check Box 40">
              <controlPr defaultSize="0" autoFill="0" autoLine="0" autoPict="0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3</xdr:col>
                    <xdr:colOff>400050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27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76</xdr:row>
                    <xdr:rowOff>0</xdr:rowOff>
                  </from>
                  <to>
                    <xdr:col>3</xdr:col>
                    <xdr:colOff>200025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28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77</xdr:row>
                    <xdr:rowOff>0</xdr:rowOff>
                  </from>
                  <to>
                    <xdr:col>3</xdr:col>
                    <xdr:colOff>400050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29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3</xdr:col>
                    <xdr:colOff>400050</xdr:colOff>
                    <xdr:row>79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30" name="Label 45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80</xdr:row>
                    <xdr:rowOff>0</xdr:rowOff>
                  </from>
                  <to>
                    <xdr:col>3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31" name="Group Box 46">
              <controlPr defaultSize="0" autoFill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32" name="Check Box 4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581025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33" name="Check Box 4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581025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34" name="Check Box 5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180975</xdr:rowOff>
                  </from>
                  <to>
                    <xdr:col>3</xdr:col>
                    <xdr:colOff>581025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35" name="Check Box 51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180975</xdr:rowOff>
                  </from>
                  <to>
                    <xdr:col>3</xdr:col>
                    <xdr:colOff>581025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36" name="Check Box 52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180975</xdr:rowOff>
                  </from>
                  <to>
                    <xdr:col>3</xdr:col>
                    <xdr:colOff>581025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37" name="Check Box 5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171450</xdr:rowOff>
                  </from>
                  <to>
                    <xdr:col>3</xdr:col>
                    <xdr:colOff>581025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38" name="Check Box 54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171450</xdr:rowOff>
                  </from>
                  <to>
                    <xdr:col>3</xdr:col>
                    <xdr:colOff>581025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39" name="Check Box 55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171450</xdr:rowOff>
                  </from>
                  <to>
                    <xdr:col>3</xdr:col>
                    <xdr:colOff>581025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40" name="Check Box 56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161925</xdr:rowOff>
                  </from>
                  <to>
                    <xdr:col>3</xdr:col>
                    <xdr:colOff>581025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41" name="Check Box 57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161925</xdr:rowOff>
                  </from>
                  <to>
                    <xdr:col>3</xdr:col>
                    <xdr:colOff>581025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42" name="Check Box 58">
              <controlPr defaultSize="0" autoFill="0" autoLine="0" autoPict="0">
                <anchor moveWithCells="1">
                  <from>
                    <xdr:col>4</xdr:col>
                    <xdr:colOff>152400</xdr:colOff>
                    <xdr:row>23</xdr:row>
                    <xdr:rowOff>0</xdr:rowOff>
                  </from>
                  <to>
                    <xdr:col>6</xdr:col>
                    <xdr:colOff>114300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43" name="Check Box 59">
              <controlPr defaultSize="0" autoFill="0" autoLine="0" autoPict="0">
                <anchor moveWithCells="1">
                  <from>
                    <xdr:col>4</xdr:col>
                    <xdr:colOff>152400</xdr:colOff>
                    <xdr:row>24</xdr:row>
                    <xdr:rowOff>0</xdr:rowOff>
                  </from>
                  <to>
                    <xdr:col>6</xdr:col>
                    <xdr:colOff>114300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44" name="Check Box 60">
              <controlPr defaultSize="0" autoFill="0" autoLine="0" autoPict="0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6</xdr:col>
                    <xdr:colOff>114300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45" name="Check Box 61">
              <controlPr defaultSize="0" autoFill="0" autoLine="0" autoPict="0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6</xdr:col>
                    <xdr:colOff>114300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46" name="Check Box 62">
              <controlPr defaultSize="0" autoFill="0" autoLine="0" autoPict="0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6</xdr:col>
                    <xdr:colOff>114300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47" name="Check Box 63">
              <controlPr defaultSize="0" autoFill="0" autoLine="0" autoPict="0">
                <anchor moveWithCells="1">
                  <from>
                    <xdr:col>4</xdr:col>
                    <xdr:colOff>152400</xdr:colOff>
                    <xdr:row>27</xdr:row>
                    <xdr:rowOff>171450</xdr:rowOff>
                  </from>
                  <to>
                    <xdr:col>6</xdr:col>
                    <xdr:colOff>114300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48" name="Check Box 64">
              <controlPr defaultSize="0" autoFill="0" autoLine="0" autoPict="0">
                <anchor moveWithCells="1">
                  <from>
                    <xdr:col>4</xdr:col>
                    <xdr:colOff>152400</xdr:colOff>
                    <xdr:row>28</xdr:row>
                    <xdr:rowOff>171450</xdr:rowOff>
                  </from>
                  <to>
                    <xdr:col>6</xdr:col>
                    <xdr:colOff>114300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49" name="Check Box 65">
              <controlPr defaultSize="0" autoFill="0" autoLine="0" autoPict="0">
                <anchor moveWithCells="1">
                  <from>
                    <xdr:col>4</xdr:col>
                    <xdr:colOff>152400</xdr:colOff>
                    <xdr:row>29</xdr:row>
                    <xdr:rowOff>171450</xdr:rowOff>
                  </from>
                  <to>
                    <xdr:col>6</xdr:col>
                    <xdr:colOff>114300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50" name="Check Box 66">
              <controlPr defaultSize="0" autoFill="0" autoLine="0" autoPict="0">
                <anchor moveWithCells="1">
                  <from>
                    <xdr:col>4</xdr:col>
                    <xdr:colOff>152400</xdr:colOff>
                    <xdr:row>30</xdr:row>
                    <xdr:rowOff>161925</xdr:rowOff>
                  </from>
                  <to>
                    <xdr:col>6</xdr:col>
                    <xdr:colOff>114300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51" name="Check Box 67">
              <controlPr defaultSize="0" autoFill="0" autoLine="0" autoPict="0">
                <anchor moveWithCells="1">
                  <from>
                    <xdr:col>4</xdr:col>
                    <xdr:colOff>152400</xdr:colOff>
                    <xdr:row>31</xdr:row>
                    <xdr:rowOff>161925</xdr:rowOff>
                  </from>
                  <to>
                    <xdr:col>6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52" name="Check Box 68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53" name="Check Box 71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180975</xdr:rowOff>
                  </from>
                  <to>
                    <xdr:col>9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54" name="Check Box 72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180975</xdr:rowOff>
                  </from>
                  <to>
                    <xdr:col>8</xdr:col>
                    <xdr:colOff>200025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55" name="Check Box 73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171450</xdr:rowOff>
                  </from>
                  <to>
                    <xdr:col>8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56" name="Check Box 74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171450</xdr:rowOff>
                  </from>
                  <to>
                    <xdr:col>8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57" name="Check Box 75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161925</xdr:rowOff>
                  </from>
                  <to>
                    <xdr:col>8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58" name="Check Box 76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161925</xdr:rowOff>
                  </from>
                  <to>
                    <xdr:col>8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59" name="Group Box 31">
              <controlPr defaultSize="0" autoFill="0" autoPict="0">
                <anchor mov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9</xdr:col>
                    <xdr:colOff>0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60" name="Drop Down 36">
              <controlPr defaultSize="0" autoLine="0" autoPict="0">
                <anchor moveWithCells="1">
                  <from>
                    <xdr:col>3</xdr:col>
                    <xdr:colOff>0</xdr:colOff>
                    <xdr:row>68</xdr:row>
                    <xdr:rowOff>180975</xdr:rowOff>
                  </from>
                  <to>
                    <xdr:col>8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61" name="Group Box 77">
              <controlPr defaultSize="0" autoFill="0" autoPict="0">
                <anchor moveWithCells="1">
                  <from>
                    <xdr:col>2</xdr:col>
                    <xdr:colOff>0</xdr:colOff>
                    <xdr:row>84</xdr:row>
                    <xdr:rowOff>0</xdr:rowOff>
                  </from>
                  <to>
                    <xdr:col>8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62" name="Label 7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85</xdr:row>
                    <xdr:rowOff>0</xdr:rowOff>
                  </from>
                  <to>
                    <xdr:col>3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63" name="Drop Down 79">
              <controlPr defaultSize="0" autoLine="0" autoPict="0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7</xdr:col>
                    <xdr:colOff>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64" name="Label 80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86</xdr:row>
                    <xdr:rowOff>180975</xdr:rowOff>
                  </from>
                  <to>
                    <xdr:col>2</xdr:col>
                    <xdr:colOff>657225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65" name="Label 81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91</xdr:row>
                    <xdr:rowOff>0</xdr:rowOff>
                  </from>
                  <to>
                    <xdr:col>3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66" name="Drop Down 82">
              <controlPr defaultSize="0" autoLine="0" autoPict="0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7</xdr:col>
                    <xdr:colOff>0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67" name="Label 83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96</xdr:row>
                    <xdr:rowOff>0</xdr:rowOff>
                  </from>
                  <to>
                    <xdr:col>3</xdr:col>
                    <xdr:colOff>523875</xdr:colOff>
                    <xdr:row>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68" name="Drop Down 84">
              <controlPr defaultSize="0" autoLine="0" autoPict="0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7</xdr:col>
                    <xdr:colOff>0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69" name="Label 85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98</xdr:row>
                    <xdr:rowOff>0</xdr:rowOff>
                  </from>
                  <to>
                    <xdr:col>2</xdr:col>
                    <xdr:colOff>657225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70" name="Drop Down 86">
              <controlPr defaultSize="0" autoLine="0" autoPict="0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7</xdr:col>
                    <xdr:colOff>0</xdr:colOff>
                    <xdr:row>99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71" name="Label 87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100</xdr:row>
                    <xdr:rowOff>0</xdr:rowOff>
                  </from>
                  <to>
                    <xdr:col>3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72" name="Drop Down 88">
              <controlPr defaultSize="0" autoLine="0" autoPict="0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7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73" name="Label 89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102</xdr:row>
                    <xdr:rowOff>9525</xdr:rowOff>
                  </from>
                  <to>
                    <xdr:col>3</xdr:col>
                    <xdr:colOff>447675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74" name="Drop Down 90">
              <controlPr defaultSize="0" autoLine="0" autoPict="0">
                <anchor mov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7</xdr:col>
                    <xdr:colOff>0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75" name="Drop Down 92">
              <controlPr defaultSize="0" autoLine="0" autoPict="0">
                <anchor moveWithCells="1">
                  <from>
                    <xdr:col>2</xdr:col>
                    <xdr:colOff>209550</xdr:colOff>
                    <xdr:row>52</xdr:row>
                    <xdr:rowOff>0</xdr:rowOff>
                  </from>
                  <to>
                    <xdr:col>5</xdr:col>
                    <xdr:colOff>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76" name="Group Box 93">
              <controlPr defaultSize="0" autoFill="0" autoPict="0">
                <anchor moveWithCells="1">
                  <from>
                    <xdr:col>2</xdr:col>
                    <xdr:colOff>0</xdr:colOff>
                    <xdr:row>105</xdr:row>
                    <xdr:rowOff>0</xdr:rowOff>
                  </from>
                  <to>
                    <xdr:col>7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77" name="Check Box 94">
              <controlPr defaultSize="0" autoFill="0" autoLine="0" autoPict="0">
                <anchor moveWithCells="1">
                  <from>
                    <xdr:col>2</xdr:col>
                    <xdr:colOff>0</xdr:colOff>
                    <xdr:row>106</xdr:row>
                    <xdr:rowOff>0</xdr:rowOff>
                  </from>
                  <to>
                    <xdr:col>6</xdr:col>
                    <xdr:colOff>361950</xdr:colOff>
                    <xdr:row>107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78" name="Check Box 95">
              <controlPr defaultSize="0" autoFill="0" autoLine="0" autoPict="0">
                <anchor moveWithCells="1">
                  <from>
                    <xdr:col>2</xdr:col>
                    <xdr:colOff>0</xdr:colOff>
                    <xdr:row>107</xdr:row>
                    <xdr:rowOff>0</xdr:rowOff>
                  </from>
                  <to>
                    <xdr:col>6</xdr:col>
                    <xdr:colOff>361950</xdr:colOff>
                    <xdr:row>108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79" name="Check Box 96">
              <controlPr defaultSize="0" autoFill="0" autoLine="0" autoPict="0">
                <anchor moveWithCells="1">
                  <from>
                    <xdr:col>2</xdr:col>
                    <xdr:colOff>0</xdr:colOff>
                    <xdr:row>108</xdr:row>
                    <xdr:rowOff>19050</xdr:rowOff>
                  </from>
                  <to>
                    <xdr:col>6</xdr:col>
                    <xdr:colOff>361950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80" name="Check Box 97">
              <controlPr defaultSize="0" autoFill="0" autoLine="0" autoPict="0">
                <anchor moveWithCells="1">
                  <from>
                    <xdr:col>2</xdr:col>
                    <xdr:colOff>0</xdr:colOff>
                    <xdr:row>109</xdr:row>
                    <xdr:rowOff>0</xdr:rowOff>
                  </from>
                  <to>
                    <xdr:col>6</xdr:col>
                    <xdr:colOff>361950</xdr:colOff>
                    <xdr:row>110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81" name="Check Box 98">
              <controlPr defaultSize="0" autoFill="0" autoLine="0" autoPict="0">
                <anchor moveWithCells="1">
                  <from>
                    <xdr:col>2</xdr:col>
                    <xdr:colOff>0</xdr:colOff>
                    <xdr:row>110</xdr:row>
                    <xdr:rowOff>0</xdr:rowOff>
                  </from>
                  <to>
                    <xdr:col>6</xdr:col>
                    <xdr:colOff>361950</xdr:colOff>
                    <xdr:row>111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82" name="Label 11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117</xdr:row>
                    <xdr:rowOff>180975</xdr:rowOff>
                  </from>
                  <to>
                    <xdr:col>4</xdr:col>
                    <xdr:colOff>0</xdr:colOff>
                    <xdr:row>118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83" name="Button 120">
              <controlPr defaultSize="0" print="0" autoFill="0" autoPict="0" macro="[0]!CreateRecord">
                <anchor moveWithCells="1" sizeWithCells="1">
                  <from>
                    <xdr:col>2</xdr:col>
                    <xdr:colOff>495300</xdr:colOff>
                    <xdr:row>194</xdr:row>
                    <xdr:rowOff>76200</xdr:rowOff>
                  </from>
                  <to>
                    <xdr:col>7</xdr:col>
                    <xdr:colOff>228600</xdr:colOff>
                    <xdr:row>197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84" name="Label 12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123</xdr:row>
                    <xdr:rowOff>180975</xdr:rowOff>
                  </from>
                  <to>
                    <xdr:col>3</xdr:col>
                    <xdr:colOff>0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85" name="Label 29">
              <controlPr defaultSize="0" autoFill="0" autoLine="0" autoPict="0">
                <anchor moveWithCells="1">
                  <from>
                    <xdr:col>2</xdr:col>
                    <xdr:colOff>0</xdr:colOff>
                    <xdr:row>63</xdr:row>
                    <xdr:rowOff>0</xdr:rowOff>
                  </from>
                  <to>
                    <xdr:col>3</xdr:col>
                    <xdr:colOff>400050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86" name="Group Box 38">
              <controlPr defaultSize="0" autoFill="0" autoPict="0">
                <anchor moveWithCells="1">
                  <from>
                    <xdr:col>2</xdr:col>
                    <xdr:colOff>0</xdr:colOff>
                    <xdr:row>74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87" name="Label 110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116</xdr:row>
                    <xdr:rowOff>19050</xdr:rowOff>
                  </from>
                  <to>
                    <xdr:col>5</xdr:col>
                    <xdr:colOff>352425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88" name="Group Box 130">
              <controlPr defaultSize="0" autoFill="0" autoPict="0">
                <anchor moveWithCells="1">
                  <from>
                    <xdr:col>1</xdr:col>
                    <xdr:colOff>0</xdr:colOff>
                    <xdr:row>190</xdr:row>
                    <xdr:rowOff>0</xdr:rowOff>
                  </from>
                  <to>
                    <xdr:col>6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89" name="Drop Down 131">
              <controlPr defaultSize="0" autoLine="0" autoPict="0">
                <anchor moveWithCells="1">
                  <from>
                    <xdr:col>1</xdr:col>
                    <xdr:colOff>419100</xdr:colOff>
                    <xdr:row>191</xdr:row>
                    <xdr:rowOff>0</xdr:rowOff>
                  </from>
                  <to>
                    <xdr:col>5</xdr:col>
                    <xdr:colOff>419100</xdr:colOff>
                    <xdr:row>192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90" name="Label 13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93</xdr:row>
                    <xdr:rowOff>0</xdr:rowOff>
                  </from>
                  <to>
                    <xdr:col>3</xdr:col>
                    <xdr:colOff>409575</xdr:colOff>
                    <xdr:row>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91" name="Group Box 134">
              <controlPr defaultSize="0" autoFill="0" autoPict="0">
                <anchor moveWithCells="1">
                  <from>
                    <xdr:col>2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92" name="Drop Down 135">
              <controlPr defaultSize="0" autoLine="0" autoPict="0">
                <anchor moveWithCells="1">
                  <from>
                    <xdr:col>2</xdr:col>
                    <xdr:colOff>285750</xdr:colOff>
                    <xdr:row>154</xdr:row>
                    <xdr:rowOff>0</xdr:rowOff>
                  </from>
                  <to>
                    <xdr:col>5</xdr:col>
                    <xdr:colOff>66675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93" name="Group Box 136">
              <controlPr defaultSize="0" autoFill="0" autoPict="0">
                <anchor moveWithCells="1">
                  <from>
                    <xdr:col>2</xdr:col>
                    <xdr:colOff>0</xdr:colOff>
                    <xdr:row>147</xdr:row>
                    <xdr:rowOff>0</xdr:rowOff>
                  </from>
                  <to>
                    <xdr:col>8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94" name="Label 137">
              <controlPr defaultSize="0" autoFill="0" autoLine="0" autoPict="0">
                <anchor moveWithCells="1">
                  <from>
                    <xdr:col>2</xdr:col>
                    <xdr:colOff>0</xdr:colOff>
                    <xdr:row>162</xdr:row>
                    <xdr:rowOff>0</xdr:rowOff>
                  </from>
                  <to>
                    <xdr:col>3</xdr:col>
                    <xdr:colOff>400050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95" name="Label 13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164</xdr:row>
                    <xdr:rowOff>0</xdr:rowOff>
                  </from>
                  <to>
                    <xdr:col>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96" name="Label 139">
              <controlPr defaultSize="0" autoFill="0" autoLine="0" autoPict="0">
                <anchor moveWithCells="1">
                  <from>
                    <xdr:col>2</xdr:col>
                    <xdr:colOff>0</xdr:colOff>
                    <xdr:row>166</xdr:row>
                    <xdr:rowOff>0</xdr:rowOff>
                  </from>
                  <to>
                    <xdr:col>3</xdr:col>
                    <xdr:colOff>400050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97" name="Drop Down 140">
              <controlPr defaultSize="0" autoLine="0" autoPict="0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98" name="Drop Down 141">
              <controlPr defaultSize="0" autoLine="0" autoPict="0">
                <anchor moveWithCells="1">
                  <from>
                    <xdr:col>4</xdr:col>
                    <xdr:colOff>0</xdr:colOff>
                    <xdr:row>163</xdr:row>
                    <xdr:rowOff>180975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99" name="Drop Down 142">
              <controlPr defaultSize="0" autoLine="0" autoPict="0">
                <anchor moveWithCells="1">
                  <from>
                    <xdr:col>4</xdr:col>
                    <xdr:colOff>0</xdr:colOff>
                    <xdr:row>165</xdr:row>
                    <xdr:rowOff>180975</xdr:rowOff>
                  </from>
                  <to>
                    <xdr:col>6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100" name="Drop Down 146">
              <controlPr defaultSize="0" autoLine="0" autoPict="0">
                <anchor mov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8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101" name="Drop Down 147">
              <controlPr defaultSize="0" autoLine="0" autoPict="0">
                <anchor moveWithCells="1">
                  <from>
                    <xdr:col>3</xdr:col>
                    <xdr:colOff>0</xdr:colOff>
                    <xdr:row>177</xdr:row>
                    <xdr:rowOff>180975</xdr:rowOff>
                  </from>
                  <to>
                    <xdr:col>8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102" name="Check Box 148">
              <controlPr defaultSize="0" autoFill="0" autoLine="0" autoPict="0">
                <anchor moveWithCells="1">
                  <from>
                    <xdr:col>2</xdr:col>
                    <xdr:colOff>0</xdr:colOff>
                    <xdr:row>182</xdr:row>
                    <xdr:rowOff>0</xdr:rowOff>
                  </from>
                  <to>
                    <xdr:col>3</xdr:col>
                    <xdr:colOff>400050</xdr:colOff>
                    <xdr:row>183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103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183</xdr:row>
                    <xdr:rowOff>0</xdr:rowOff>
                  </from>
                  <to>
                    <xdr:col>3</xdr:col>
                    <xdr:colOff>200025</xdr:colOff>
                    <xdr:row>184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104" name="Check Box 150">
              <controlPr defaultSize="0" autoFill="0" autoLine="0" autoPict="0">
                <anchor moveWithCells="1">
                  <from>
                    <xdr:col>2</xdr:col>
                    <xdr:colOff>0</xdr:colOff>
                    <xdr:row>184</xdr:row>
                    <xdr:rowOff>0</xdr:rowOff>
                  </from>
                  <to>
                    <xdr:col>3</xdr:col>
                    <xdr:colOff>400050</xdr:colOff>
                    <xdr:row>185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105" name="Check Box 151">
              <controlPr defaultSize="0" autoFill="0" autoLine="0" autoPict="0">
                <anchor moveWithCells="1">
                  <from>
                    <xdr:col>2</xdr:col>
                    <xdr:colOff>0</xdr:colOff>
                    <xdr:row>185</xdr:row>
                    <xdr:rowOff>0</xdr:rowOff>
                  </from>
                  <to>
                    <xdr:col>3</xdr:col>
                    <xdr:colOff>400050</xdr:colOff>
                    <xdr:row>186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0" r:id="rId106" name="Label 15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187</xdr:row>
                    <xdr:rowOff>0</xdr:rowOff>
                  </from>
                  <to>
                    <xdr:col>3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107" name="Group Box 153">
              <controlPr defaultSize="0" autoFill="0" autoPict="0">
                <anchor moveWithCells="1">
                  <from>
                    <xdr:col>2</xdr:col>
                    <xdr:colOff>0</xdr:colOff>
                    <xdr:row>134</xdr:row>
                    <xdr:rowOff>0</xdr:rowOff>
                  </from>
                  <to>
                    <xdr:col>9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108" name="Check Box 154">
              <controlPr defaultSize="0" autoFill="0" autoLine="0" autoPict="0">
                <anchor moveWithCells="1">
                  <from>
                    <xdr:col>2</xdr:col>
                    <xdr:colOff>0</xdr:colOff>
                    <xdr:row>135</xdr:row>
                    <xdr:rowOff>0</xdr:rowOff>
                  </from>
                  <to>
                    <xdr:col>3</xdr:col>
                    <xdr:colOff>581025</xdr:colOff>
                    <xdr:row>136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109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136</xdr:row>
                    <xdr:rowOff>0</xdr:rowOff>
                  </from>
                  <to>
                    <xdr:col>3</xdr:col>
                    <xdr:colOff>581025</xdr:colOff>
                    <xdr:row>137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110" name="Check Box 156">
              <controlPr defaultSize="0" autoFill="0" autoLine="0" autoPict="0">
                <anchor moveWithCells="1">
                  <from>
                    <xdr:col>2</xdr:col>
                    <xdr:colOff>0</xdr:colOff>
                    <xdr:row>136</xdr:row>
                    <xdr:rowOff>180975</xdr:rowOff>
                  </from>
                  <to>
                    <xdr:col>3</xdr:col>
                    <xdr:colOff>581025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5" r:id="rId111" name="Check Box 157">
              <controlPr defaultSize="0" autoFill="0" autoLine="0" autoPict="0">
                <anchor moveWithCells="1">
                  <from>
                    <xdr:col>2</xdr:col>
                    <xdr:colOff>0</xdr:colOff>
                    <xdr:row>137</xdr:row>
                    <xdr:rowOff>180975</xdr:rowOff>
                  </from>
                  <to>
                    <xdr:col>3</xdr:col>
                    <xdr:colOff>581025</xdr:colOff>
                    <xdr:row>139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6" r:id="rId112" name="Check Box 158">
              <controlPr defaultSize="0" autoFill="0" autoLine="0" autoPict="0">
                <anchor moveWithCells="1">
                  <from>
                    <xdr:col>2</xdr:col>
                    <xdr:colOff>0</xdr:colOff>
                    <xdr:row>138</xdr:row>
                    <xdr:rowOff>180975</xdr:rowOff>
                  </from>
                  <to>
                    <xdr:col>3</xdr:col>
                    <xdr:colOff>581025</xdr:colOff>
                    <xdr:row>140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113" name="Check Box 159">
              <controlPr defaultSize="0" autoFill="0" autoLine="0" autoPict="0">
                <anchor moveWithCells="1">
                  <from>
                    <xdr:col>2</xdr:col>
                    <xdr:colOff>0</xdr:colOff>
                    <xdr:row>139</xdr:row>
                    <xdr:rowOff>171450</xdr:rowOff>
                  </from>
                  <to>
                    <xdr:col>3</xdr:col>
                    <xdr:colOff>581025</xdr:colOff>
                    <xdr:row>141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114" name="Check Box 160">
              <controlPr defaultSize="0" autoFill="0" autoLine="0" autoPict="0">
                <anchor moveWithCells="1">
                  <from>
                    <xdr:col>2</xdr:col>
                    <xdr:colOff>0</xdr:colOff>
                    <xdr:row>140</xdr:row>
                    <xdr:rowOff>171450</xdr:rowOff>
                  </from>
                  <to>
                    <xdr:col>3</xdr:col>
                    <xdr:colOff>581025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115" name="Check Box 161">
              <controlPr defaultSize="0" autoFill="0" autoLine="0" autoPict="0">
                <anchor moveWithCells="1">
                  <from>
                    <xdr:col>2</xdr:col>
                    <xdr:colOff>0</xdr:colOff>
                    <xdr:row>141</xdr:row>
                    <xdr:rowOff>171450</xdr:rowOff>
                  </from>
                  <to>
                    <xdr:col>3</xdr:col>
                    <xdr:colOff>581025</xdr:colOff>
                    <xdr:row>143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116" name="Check Box 162">
              <controlPr defaultSize="0" autoFill="0" autoLine="0" autoPict="0">
                <anchor moveWithCells="1">
                  <from>
                    <xdr:col>2</xdr:col>
                    <xdr:colOff>0</xdr:colOff>
                    <xdr:row>142</xdr:row>
                    <xdr:rowOff>161925</xdr:rowOff>
                  </from>
                  <to>
                    <xdr:col>3</xdr:col>
                    <xdr:colOff>581025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117" name="Check Box 163">
              <controlPr defaultSize="0" autoFill="0" autoLine="0" autoPict="0">
                <anchor moveWithCells="1">
                  <from>
                    <xdr:col>2</xdr:col>
                    <xdr:colOff>0</xdr:colOff>
                    <xdr:row>143</xdr:row>
                    <xdr:rowOff>161925</xdr:rowOff>
                  </from>
                  <to>
                    <xdr:col>3</xdr:col>
                    <xdr:colOff>581025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118" name="Check Box 164">
              <controlPr defaultSize="0" autoFill="0" autoLine="0" autoPict="0">
                <anchor moveWithCells="1">
                  <from>
                    <xdr:col>4</xdr:col>
                    <xdr:colOff>152400</xdr:colOff>
                    <xdr:row>135</xdr:row>
                    <xdr:rowOff>0</xdr:rowOff>
                  </from>
                  <to>
                    <xdr:col>6</xdr:col>
                    <xdr:colOff>114300</xdr:colOff>
                    <xdr:row>136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119" name="Check Box 165">
              <controlPr defaultSize="0" autoFill="0" autoLine="0" autoPict="0">
                <anchor moveWithCells="1">
                  <from>
                    <xdr:col>4</xdr:col>
                    <xdr:colOff>152400</xdr:colOff>
                    <xdr:row>136</xdr:row>
                    <xdr:rowOff>0</xdr:rowOff>
                  </from>
                  <to>
                    <xdr:col>6</xdr:col>
                    <xdr:colOff>114300</xdr:colOff>
                    <xdr:row>137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4" r:id="rId120" name="Check Box 166">
              <controlPr defaultSize="0" autoFill="0" autoLine="0" autoPict="0">
                <anchor moveWithCells="1">
                  <from>
                    <xdr:col>4</xdr:col>
                    <xdr:colOff>152400</xdr:colOff>
                    <xdr:row>136</xdr:row>
                    <xdr:rowOff>180975</xdr:rowOff>
                  </from>
                  <to>
                    <xdr:col>6</xdr:col>
                    <xdr:colOff>114300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5" r:id="rId121" name="Check Box 167">
              <controlPr defaultSize="0" autoFill="0" autoLine="0" autoPict="0">
                <anchor moveWithCells="1">
                  <from>
                    <xdr:col>4</xdr:col>
                    <xdr:colOff>152400</xdr:colOff>
                    <xdr:row>137</xdr:row>
                    <xdr:rowOff>180975</xdr:rowOff>
                  </from>
                  <to>
                    <xdr:col>6</xdr:col>
                    <xdr:colOff>114300</xdr:colOff>
                    <xdr:row>139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6" r:id="rId122" name="Check Box 168">
              <controlPr defaultSize="0" autoFill="0" autoLine="0" autoPict="0">
                <anchor moveWithCells="1">
                  <from>
                    <xdr:col>4</xdr:col>
                    <xdr:colOff>152400</xdr:colOff>
                    <xdr:row>138</xdr:row>
                    <xdr:rowOff>180975</xdr:rowOff>
                  </from>
                  <to>
                    <xdr:col>6</xdr:col>
                    <xdr:colOff>114300</xdr:colOff>
                    <xdr:row>140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7" r:id="rId123" name="Check Box 169">
              <controlPr defaultSize="0" autoFill="0" autoLine="0" autoPict="0">
                <anchor moveWithCells="1">
                  <from>
                    <xdr:col>4</xdr:col>
                    <xdr:colOff>152400</xdr:colOff>
                    <xdr:row>139</xdr:row>
                    <xdr:rowOff>171450</xdr:rowOff>
                  </from>
                  <to>
                    <xdr:col>6</xdr:col>
                    <xdr:colOff>114300</xdr:colOff>
                    <xdr:row>141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8" r:id="rId124" name="Check Box 170">
              <controlPr defaultSize="0" autoFill="0" autoLine="0" autoPict="0">
                <anchor moveWithCells="1">
                  <from>
                    <xdr:col>4</xdr:col>
                    <xdr:colOff>152400</xdr:colOff>
                    <xdr:row>140</xdr:row>
                    <xdr:rowOff>171450</xdr:rowOff>
                  </from>
                  <to>
                    <xdr:col>6</xdr:col>
                    <xdr:colOff>114300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9" r:id="rId125" name="Check Box 171">
              <controlPr defaultSize="0" autoFill="0" autoLine="0" autoPict="0">
                <anchor moveWithCells="1">
                  <from>
                    <xdr:col>4</xdr:col>
                    <xdr:colOff>152400</xdr:colOff>
                    <xdr:row>141</xdr:row>
                    <xdr:rowOff>171450</xdr:rowOff>
                  </from>
                  <to>
                    <xdr:col>6</xdr:col>
                    <xdr:colOff>114300</xdr:colOff>
                    <xdr:row>143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0" r:id="rId126" name="Check Box 172">
              <controlPr defaultSize="0" autoFill="0" autoLine="0" autoPict="0">
                <anchor moveWithCells="1">
                  <from>
                    <xdr:col>4</xdr:col>
                    <xdr:colOff>152400</xdr:colOff>
                    <xdr:row>142</xdr:row>
                    <xdr:rowOff>161925</xdr:rowOff>
                  </from>
                  <to>
                    <xdr:col>6</xdr:col>
                    <xdr:colOff>114300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1" r:id="rId127" name="Check Box 173">
              <controlPr defaultSize="0" autoFill="0" autoLine="0" autoPict="0">
                <anchor moveWithCells="1">
                  <from>
                    <xdr:col>4</xdr:col>
                    <xdr:colOff>152400</xdr:colOff>
                    <xdr:row>143</xdr:row>
                    <xdr:rowOff>161925</xdr:rowOff>
                  </from>
                  <to>
                    <xdr:col>6</xdr:col>
                    <xdr:colOff>114300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2" r:id="rId128" name="Check Box 174">
              <controlPr defaultSize="0" autoFill="0" autoLine="0" autoPict="0">
                <anchor moveWithCells="1">
                  <from>
                    <xdr:col>6</xdr:col>
                    <xdr:colOff>228600</xdr:colOff>
                    <xdr:row>135</xdr:row>
                    <xdr:rowOff>0</xdr:rowOff>
                  </from>
                  <to>
                    <xdr:col>9</xdr:col>
                    <xdr:colOff>0</xdr:colOff>
                    <xdr:row>136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3" r:id="rId129" name="Check Box 175">
              <controlPr defaultSize="0" autoFill="0" autoLine="0" autoPict="0">
                <anchor moveWithCells="1">
                  <from>
                    <xdr:col>6</xdr:col>
                    <xdr:colOff>228600</xdr:colOff>
                    <xdr:row>135</xdr:row>
                    <xdr:rowOff>180975</xdr:rowOff>
                  </from>
                  <to>
                    <xdr:col>9</xdr:col>
                    <xdr:colOff>0</xdr:colOff>
                    <xdr:row>137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4" r:id="rId130" name="Check Box 176">
              <controlPr defaultSize="0" autoFill="0" autoLine="0" autoPict="0">
                <anchor moveWithCells="1">
                  <from>
                    <xdr:col>6</xdr:col>
                    <xdr:colOff>228600</xdr:colOff>
                    <xdr:row>136</xdr:row>
                    <xdr:rowOff>180975</xdr:rowOff>
                  </from>
                  <to>
                    <xdr:col>8</xdr:col>
                    <xdr:colOff>200025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5" r:id="rId131" name="Check Box 177">
              <controlPr defaultSize="0" autoFill="0" autoLine="0" autoPict="0">
                <anchor moveWithCells="1">
                  <from>
                    <xdr:col>6</xdr:col>
                    <xdr:colOff>228600</xdr:colOff>
                    <xdr:row>137</xdr:row>
                    <xdr:rowOff>171450</xdr:rowOff>
                  </from>
                  <to>
                    <xdr:col>8</xdr:col>
                    <xdr:colOff>200025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6" r:id="rId132" name="Check Box 178">
              <controlPr defaultSize="0" autoFill="0" autoLine="0" autoPict="0">
                <anchor moveWithCells="1">
                  <from>
                    <xdr:col>6</xdr:col>
                    <xdr:colOff>228600</xdr:colOff>
                    <xdr:row>138</xdr:row>
                    <xdr:rowOff>171450</xdr:rowOff>
                  </from>
                  <to>
                    <xdr:col>8</xdr:col>
                    <xdr:colOff>200025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7" r:id="rId133" name="Check Box 179">
              <controlPr defaultSize="0" autoFill="0" autoLine="0" autoPict="0">
                <anchor moveWithCells="1">
                  <from>
                    <xdr:col>6</xdr:col>
                    <xdr:colOff>228600</xdr:colOff>
                    <xdr:row>139</xdr:row>
                    <xdr:rowOff>161925</xdr:rowOff>
                  </from>
                  <to>
                    <xdr:col>8</xdr:col>
                    <xdr:colOff>200025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8" r:id="rId134" name="Check Box 180">
              <controlPr defaultSize="0" autoFill="0" autoLine="0" autoPict="0">
                <anchor moveWithCells="1">
                  <from>
                    <xdr:col>6</xdr:col>
                    <xdr:colOff>228600</xdr:colOff>
                    <xdr:row>140</xdr:row>
                    <xdr:rowOff>161925</xdr:rowOff>
                  </from>
                  <to>
                    <xdr:col>8</xdr:col>
                    <xdr:colOff>200025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9" r:id="rId135" name="Group Box 181">
              <controlPr defaultSize="0" autoFill="0" autoPict="0">
                <anchor moveWithCells="1">
                  <from>
                    <xdr:col>2</xdr:col>
                    <xdr:colOff>0</xdr:colOff>
                    <xdr:row>173</xdr:row>
                    <xdr:rowOff>0</xdr:rowOff>
                  </from>
                  <to>
                    <xdr:col>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0" r:id="rId136" name="Drop Down 182">
              <controlPr defaultSize="0" autoLine="0" autoPict="0">
                <anchor moveWithCells="1">
                  <from>
                    <xdr:col>3</xdr:col>
                    <xdr:colOff>0</xdr:colOff>
                    <xdr:row>175</xdr:row>
                    <xdr:rowOff>180975</xdr:rowOff>
                  </from>
                  <to>
                    <xdr:col>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3" r:id="rId137" name="Label 185">
              <controlPr defaultSize="0" autoFill="0" autoLine="0" autoPict="0">
                <anchor moveWithCells="1">
                  <from>
                    <xdr:col>2</xdr:col>
                    <xdr:colOff>0</xdr:colOff>
                    <xdr:row>169</xdr:row>
                    <xdr:rowOff>0</xdr:rowOff>
                  </from>
                  <to>
                    <xdr:col>3</xdr:col>
                    <xdr:colOff>400050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4" r:id="rId138" name="Group Box 186">
              <controlPr defaultSize="0" autoFill="0" autoPict="0">
                <anchor moveWithCells="1">
                  <from>
                    <xdr:col>2</xdr:col>
                    <xdr:colOff>0</xdr:colOff>
                    <xdr:row>181</xdr:row>
                    <xdr:rowOff>0</xdr:rowOff>
                  </from>
                  <to>
                    <xdr:col>5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" r:id="rId139" name="Label 206">
              <controlPr defaultSize="0" autoFill="0" autoLine="0" autoPict="0">
                <anchor moveWithCells="1">
                  <from>
                    <xdr:col>2</xdr:col>
                    <xdr:colOff>0</xdr:colOff>
                    <xdr:row>174</xdr:row>
                    <xdr:rowOff>0</xdr:rowOff>
                  </from>
                  <to>
                    <xdr:col>3</xdr:col>
                    <xdr:colOff>400050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" r:id="rId140" name="Label 207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176</xdr:row>
                    <xdr:rowOff>9525</xdr:rowOff>
                  </from>
                  <to>
                    <xdr:col>3</xdr:col>
                    <xdr:colOff>0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" r:id="rId141" name="Label 208">
              <controlPr defaultSize="0" autoFill="0" autoLine="0" autoPict="0">
                <anchor moveWithCells="1">
                  <from>
                    <xdr:col>2</xdr:col>
                    <xdr:colOff>0</xdr:colOff>
                    <xdr:row>178</xdr:row>
                    <xdr:rowOff>0</xdr:rowOff>
                  </from>
                  <to>
                    <xdr:col>3</xdr:col>
                    <xdr:colOff>400050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42" name="Group Box 10">
              <controlPr defaultSize="0" autoFill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7" r:id="rId143" name="Group Box 199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144" name="Label 10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115</xdr:row>
                    <xdr:rowOff>190500</xdr:rowOff>
                  </from>
                  <to>
                    <xdr:col>3</xdr:col>
                    <xdr:colOff>342900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9" r:id="rId145" name="Group Box 201">
              <controlPr defaultSize="0" autoFill="0" autoPict="0">
                <anchor moveWithCells="1">
                  <from>
                    <xdr:col>1</xdr:col>
                    <xdr:colOff>0</xdr:colOff>
                    <xdr:row>83</xdr:row>
                    <xdr:rowOff>0</xdr:rowOff>
                  </from>
                  <to>
                    <xdr:col>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4" r:id="rId146" name="Drop Down 216">
              <controlPr defaultSize="0" autoLine="0" autoPict="0">
                <anchor moveWithCells="1">
                  <from>
                    <xdr:col>2</xdr:col>
                    <xdr:colOff>323850</xdr:colOff>
                    <xdr:row>158</xdr:row>
                    <xdr:rowOff>0</xdr:rowOff>
                  </from>
                  <to>
                    <xdr:col>5</xdr:col>
                    <xdr:colOff>266700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147" name="Button 123">
              <controlPr defaultSize="0" print="0" autoFill="0" autoPict="0" macro="[0]!ResetForm">
                <anchor moveWithCells="1" sizeWithCells="1">
                  <from>
                    <xdr:col>8</xdr:col>
                    <xdr:colOff>333375</xdr:colOff>
                    <xdr:row>9</xdr:row>
                    <xdr:rowOff>85725</xdr:rowOff>
                  </from>
                  <to>
                    <xdr:col>11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" r:id="rId148" name="Group Box 217">
              <controlPr defaultSize="0" autoFill="0" autoPict="0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49" name="Group Box 22">
              <controlPr defaultSize="0" autoFill="0" autoPict="0">
                <anchor moveWithCells="1">
                  <from>
                    <xdr:col>2</xdr:col>
                    <xdr:colOff>0</xdr:colOff>
                    <xdr:row>55</xdr:row>
                    <xdr:rowOff>0</xdr:rowOff>
                  </from>
                  <to>
                    <xdr:col>7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8" r:id="rId150" name="Group Box 200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6" r:id="rId151" name="Group Box 218">
              <controlPr defaultSize="0" autoFill="0" autoPict="0">
                <anchor moveWithCells="1">
                  <from>
                    <xdr:col>2</xdr:col>
                    <xdr:colOff>0</xdr:colOff>
                    <xdr:row>113</xdr:row>
                    <xdr:rowOff>0</xdr:rowOff>
                  </from>
                  <to>
                    <xdr:col>8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7" r:id="rId152" name="Label 219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114</xdr:row>
                    <xdr:rowOff>0</xdr:rowOff>
                  </from>
                  <to>
                    <xdr:col>3</xdr:col>
                    <xdr:colOff>342900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8" r:id="rId153" name="Label 220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114</xdr:row>
                    <xdr:rowOff>19050</xdr:rowOff>
                  </from>
                  <to>
                    <xdr:col>5</xdr:col>
                    <xdr:colOff>352425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9" r:id="rId154" name="Label 2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116</xdr:row>
                    <xdr:rowOff>19050</xdr:rowOff>
                  </from>
                  <to>
                    <xdr:col>7</xdr:col>
                    <xdr:colOff>333375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0" r:id="rId155" name="Group Box 222">
              <controlPr defaultSize="0" autoFill="0" autoPict="0">
                <anchor moveWithCells="1">
                  <from>
                    <xdr:col>2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2" r:id="rId156" name="Group Box 184">
              <controlPr defaultSize="0" autoFill="0" autoPict="0">
                <anchor moveWithCells="1">
                  <from>
                    <xdr:col>2</xdr:col>
                    <xdr:colOff>0</xdr:colOff>
                    <xdr:row>161</xdr:row>
                    <xdr:rowOff>0</xdr:rowOff>
                  </from>
                  <to>
                    <xdr:col>7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0" r:id="rId157" name="Group Box 202">
              <controlPr defaultSize="0" autoFill="0" autoPict="0">
                <anchor moveWithCells="1">
                  <from>
                    <xdr:col>1</xdr:col>
                    <xdr:colOff>0</xdr:colOff>
                    <xdr:row>133</xdr:row>
                    <xdr:rowOff>0</xdr:rowOff>
                  </from>
                  <to>
                    <xdr:col>10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1" r:id="rId158" name="Drop Down 223">
              <controlPr defaultSize="0" autoLine="0" autoPict="0">
                <anchor moveWithCells="1">
                  <from>
                    <xdr:col>8</xdr:col>
                    <xdr:colOff>323850</xdr:colOff>
                    <xdr:row>3</xdr:row>
                    <xdr:rowOff>66675</xdr:rowOff>
                  </from>
                  <to>
                    <xdr:col>11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2" r:id="rId159" name="Button 224">
              <controlPr defaultSize="0" print="0" autoFill="0" autoPict="0" macro="[0]!GetRecord">
                <anchor moveWithCells="1" sizeWithCells="1">
                  <from>
                    <xdr:col>8</xdr:col>
                    <xdr:colOff>314325</xdr:colOff>
                    <xdr:row>4</xdr:row>
                    <xdr:rowOff>142875</xdr:rowOff>
                  </from>
                  <to>
                    <xdr:col>11</xdr:col>
                    <xdr:colOff>314325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2DC1-D12F-4287-8700-47DFF5B02DDE}">
  <sheetPr codeName="Sheet5"/>
  <dimension ref="A1:EL53"/>
  <sheetViews>
    <sheetView topLeftCell="A25" workbookViewId="0">
      <selection activeCell="D53" sqref="D53"/>
    </sheetView>
  </sheetViews>
  <sheetFormatPr defaultColWidth="9.140625" defaultRowHeight="15" x14ac:dyDescent="0.25"/>
  <cols>
    <col min="1" max="1" width="14.85546875" style="5" bestFit="1" customWidth="1"/>
    <col min="2" max="2" width="15.7109375" style="11" customWidth="1"/>
    <col min="3" max="3" width="14.85546875" style="12" customWidth="1"/>
    <col min="4" max="4" width="19.7109375" style="12" customWidth="1"/>
    <col min="5" max="8" width="9.140625" style="5"/>
    <col min="9" max="9" width="16.85546875" style="5" customWidth="1"/>
    <col min="10" max="16384" width="9.140625" style="5"/>
  </cols>
  <sheetData>
    <row r="1" spans="1:142" x14ac:dyDescent="0.25">
      <c r="A1" t="s">
        <v>289</v>
      </c>
      <c r="B1" t="s">
        <v>290</v>
      </c>
      <c r="C1" t="s">
        <v>291</v>
      </c>
      <c r="D1" t="s">
        <v>299</v>
      </c>
      <c r="E1" t="s">
        <v>147</v>
      </c>
      <c r="F1" t="s">
        <v>148</v>
      </c>
      <c r="G1" t="s">
        <v>154</v>
      </c>
      <c r="H1" t="s">
        <v>259</v>
      </c>
      <c r="I1" t="s">
        <v>155</v>
      </c>
      <c r="J1" t="s">
        <v>260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  <c r="U1" t="s">
        <v>166</v>
      </c>
      <c r="V1" t="s">
        <v>167</v>
      </c>
      <c r="W1" t="s">
        <v>168</v>
      </c>
      <c r="X1" t="s">
        <v>169</v>
      </c>
      <c r="Y1" t="s">
        <v>170</v>
      </c>
      <c r="Z1" t="s">
        <v>171</v>
      </c>
      <c r="AA1" t="s">
        <v>172</v>
      </c>
      <c r="AB1" t="s">
        <v>173</v>
      </c>
      <c r="AC1" t="s">
        <v>174</v>
      </c>
      <c r="AD1" t="s">
        <v>175</v>
      </c>
      <c r="AE1" t="s">
        <v>176</v>
      </c>
      <c r="AF1" t="s">
        <v>177</v>
      </c>
      <c r="AG1" t="s">
        <v>178</v>
      </c>
      <c r="AH1" t="s">
        <v>179</v>
      </c>
      <c r="AI1" t="s">
        <v>180</v>
      </c>
      <c r="AJ1" t="s">
        <v>181</v>
      </c>
      <c r="AK1" t="s">
        <v>182</v>
      </c>
      <c r="AL1" t="s">
        <v>276</v>
      </c>
      <c r="AM1" t="s">
        <v>261</v>
      </c>
      <c r="AN1" t="s">
        <v>183</v>
      </c>
      <c r="AO1" t="s">
        <v>184</v>
      </c>
      <c r="AP1" t="s">
        <v>185</v>
      </c>
      <c r="AQ1" t="s">
        <v>262</v>
      </c>
      <c r="AR1" t="s">
        <v>186</v>
      </c>
      <c r="AS1" t="s">
        <v>263</v>
      </c>
      <c r="AT1" t="s">
        <v>187</v>
      </c>
      <c r="AU1" t="s">
        <v>264</v>
      </c>
      <c r="AV1" t="s">
        <v>188</v>
      </c>
      <c r="AW1" t="s">
        <v>265</v>
      </c>
      <c r="AX1" t="s">
        <v>189</v>
      </c>
      <c r="AY1" t="s">
        <v>190</v>
      </c>
      <c r="AZ1" t="s">
        <v>191</v>
      </c>
      <c r="BA1" t="s">
        <v>267</v>
      </c>
      <c r="BB1" t="s">
        <v>192</v>
      </c>
      <c r="BC1" t="s">
        <v>268</v>
      </c>
      <c r="BD1" t="s">
        <v>193</v>
      </c>
      <c r="BE1" t="s">
        <v>269</v>
      </c>
      <c r="BF1" t="s">
        <v>194</v>
      </c>
      <c r="BG1" t="s">
        <v>195</v>
      </c>
      <c r="BH1" t="s">
        <v>196</v>
      </c>
      <c r="BI1" t="s">
        <v>197</v>
      </c>
      <c r="BJ1" t="s">
        <v>198</v>
      </c>
      <c r="BK1" t="s">
        <v>199</v>
      </c>
      <c r="BL1" t="s">
        <v>270</v>
      </c>
      <c r="BM1" t="s">
        <v>200</v>
      </c>
      <c r="BN1" t="s">
        <v>201</v>
      </c>
      <c r="BO1" t="s">
        <v>271</v>
      </c>
      <c r="BP1" t="s">
        <v>202</v>
      </c>
      <c r="BQ1" t="s">
        <v>203</v>
      </c>
      <c r="BR1" t="s">
        <v>272</v>
      </c>
      <c r="BS1" t="s">
        <v>204</v>
      </c>
      <c r="BT1" t="s">
        <v>273</v>
      </c>
      <c r="BU1" t="s">
        <v>205</v>
      </c>
      <c r="BV1" t="s">
        <v>274</v>
      </c>
      <c r="BW1" t="s">
        <v>206</v>
      </c>
      <c r="BX1" t="s">
        <v>275</v>
      </c>
      <c r="BY1" t="s">
        <v>207</v>
      </c>
      <c r="BZ1" t="s">
        <v>208</v>
      </c>
      <c r="CA1" t="s">
        <v>209</v>
      </c>
      <c r="CB1" t="s">
        <v>277</v>
      </c>
      <c r="CC1" t="s">
        <v>278</v>
      </c>
      <c r="CD1" t="s">
        <v>210</v>
      </c>
      <c r="CE1" t="s">
        <v>211</v>
      </c>
      <c r="CF1" t="s">
        <v>212</v>
      </c>
      <c r="CG1" t="s">
        <v>213</v>
      </c>
      <c r="CH1" t="s">
        <v>214</v>
      </c>
      <c r="CI1" t="s">
        <v>215</v>
      </c>
      <c r="CJ1" t="s">
        <v>216</v>
      </c>
      <c r="CK1" t="s">
        <v>217</v>
      </c>
      <c r="CL1" t="s">
        <v>218</v>
      </c>
      <c r="CM1" t="s">
        <v>219</v>
      </c>
      <c r="CN1" t="s">
        <v>220</v>
      </c>
      <c r="CO1" t="s">
        <v>221</v>
      </c>
      <c r="CP1" t="s">
        <v>222</v>
      </c>
      <c r="CQ1" t="s">
        <v>223</v>
      </c>
      <c r="CR1" t="s">
        <v>224</v>
      </c>
      <c r="CS1" t="s">
        <v>225</v>
      </c>
      <c r="CT1" t="s">
        <v>226</v>
      </c>
      <c r="CU1" t="s">
        <v>227</v>
      </c>
      <c r="CV1" t="s">
        <v>228</v>
      </c>
      <c r="CW1" t="s">
        <v>229</v>
      </c>
      <c r="CX1" t="s">
        <v>230</v>
      </c>
      <c r="CY1" t="s">
        <v>231</v>
      </c>
      <c r="CZ1" t="s">
        <v>232</v>
      </c>
      <c r="DA1" t="s">
        <v>233</v>
      </c>
      <c r="DB1" t="s">
        <v>234</v>
      </c>
      <c r="DC1" t="s">
        <v>235</v>
      </c>
      <c r="DD1" t="s">
        <v>236</v>
      </c>
      <c r="DE1" t="s">
        <v>237</v>
      </c>
      <c r="DF1" t="s">
        <v>238</v>
      </c>
      <c r="DG1" t="s">
        <v>239</v>
      </c>
      <c r="DH1" t="s">
        <v>240</v>
      </c>
      <c r="DI1" t="s">
        <v>241</v>
      </c>
      <c r="DJ1" t="s">
        <v>279</v>
      </c>
      <c r="DK1" t="s">
        <v>242</v>
      </c>
      <c r="DL1" t="s">
        <v>280</v>
      </c>
      <c r="DM1" t="s">
        <v>243</v>
      </c>
      <c r="DN1" t="s">
        <v>281</v>
      </c>
      <c r="DO1" t="s">
        <v>244</v>
      </c>
      <c r="DP1" t="s">
        <v>282</v>
      </c>
      <c r="DQ1" t="s">
        <v>245</v>
      </c>
      <c r="DR1" t="s">
        <v>283</v>
      </c>
      <c r="DS1" t="s">
        <v>246</v>
      </c>
      <c r="DT1" t="s">
        <v>284</v>
      </c>
      <c r="DU1" t="s">
        <v>247</v>
      </c>
      <c r="DV1" t="s">
        <v>248</v>
      </c>
      <c r="DW1" t="s">
        <v>249</v>
      </c>
      <c r="DX1" t="s">
        <v>285</v>
      </c>
      <c r="DY1" t="s">
        <v>250</v>
      </c>
      <c r="DZ1" t="s">
        <v>286</v>
      </c>
      <c r="EA1" t="s">
        <v>251</v>
      </c>
      <c r="EB1" t="s">
        <v>287</v>
      </c>
      <c r="EC1" t="s">
        <v>252</v>
      </c>
      <c r="ED1" t="s">
        <v>253</v>
      </c>
      <c r="EE1" t="s">
        <v>254</v>
      </c>
      <c r="EF1" t="s">
        <v>255</v>
      </c>
      <c r="EG1" t="s">
        <v>256</v>
      </c>
      <c r="EH1" t="s">
        <v>257</v>
      </c>
      <c r="EI1" t="s">
        <v>288</v>
      </c>
      <c r="EJ1" t="s">
        <v>258</v>
      </c>
      <c r="EK1"/>
      <c r="EL1"/>
    </row>
    <row r="2" spans="1:142" x14ac:dyDescent="0.25">
      <c r="A2" s="5">
        <v>1</v>
      </c>
      <c r="B2" s="11">
        <v>45032</v>
      </c>
      <c r="C2" s="12">
        <v>0.4909722222222222</v>
      </c>
      <c r="D2" s="12" t="str">
        <f t="shared" ref="D2:D33" si="0">CONCATENATE(A2, "   ", TEXT(B2, "mm/dd/yyyy"),"   ",TEXT(C2,"hh:mm"))</f>
        <v>1   04/16/2023   11:47</v>
      </c>
      <c r="E2" s="5">
        <v>2</v>
      </c>
      <c r="F2" s="5" t="s">
        <v>1</v>
      </c>
      <c r="G2" s="5">
        <v>70</v>
      </c>
      <c r="H2" s="5">
        <v>3</v>
      </c>
      <c r="I2" s="5" t="s">
        <v>3</v>
      </c>
      <c r="J2" s="5">
        <v>4</v>
      </c>
      <c r="K2" s="5" t="s">
        <v>13</v>
      </c>
      <c r="L2" s="5" t="b">
        <v>0</v>
      </c>
      <c r="M2" s="5" t="b">
        <v>0</v>
      </c>
      <c r="N2" s="5" t="b">
        <v>0</v>
      </c>
      <c r="O2" s="5" t="b">
        <v>0</v>
      </c>
      <c r="P2" s="5" t="b">
        <v>0</v>
      </c>
      <c r="Q2" s="5" t="b">
        <v>0</v>
      </c>
      <c r="R2" s="5" t="b">
        <v>0</v>
      </c>
      <c r="S2" s="5" t="b">
        <v>0</v>
      </c>
      <c r="T2" s="5" t="b">
        <v>0</v>
      </c>
      <c r="U2" s="5" t="b">
        <v>0</v>
      </c>
      <c r="V2" s="5" t="b">
        <v>0</v>
      </c>
      <c r="W2" s="5" t="b">
        <v>0</v>
      </c>
      <c r="X2" s="5" t="b">
        <v>0</v>
      </c>
      <c r="Y2" s="5" t="b">
        <v>0</v>
      </c>
      <c r="Z2" s="5" t="b">
        <v>0</v>
      </c>
      <c r="AA2" s="5" t="b">
        <v>0</v>
      </c>
      <c r="AB2" s="5" t="b">
        <v>0</v>
      </c>
      <c r="AC2" s="5" t="b">
        <v>0</v>
      </c>
      <c r="AD2" s="5" t="b">
        <v>0</v>
      </c>
      <c r="AE2" s="5" t="b">
        <v>0</v>
      </c>
      <c r="AF2" s="5" t="b">
        <v>0</v>
      </c>
      <c r="AG2" s="5" t="b">
        <v>0</v>
      </c>
      <c r="AH2" s="5" t="b">
        <v>0</v>
      </c>
      <c r="AI2" s="5" t="b">
        <v>0</v>
      </c>
      <c r="AJ2" s="5" t="b">
        <v>0</v>
      </c>
      <c r="AK2" s="5" t="b">
        <v>0</v>
      </c>
      <c r="AL2" s="5" t="b">
        <v>0</v>
      </c>
      <c r="AM2" s="5">
        <v>3</v>
      </c>
      <c r="AN2" s="5" t="s">
        <v>31</v>
      </c>
      <c r="AO2" s="5" t="s">
        <v>143</v>
      </c>
      <c r="AP2" s="5" t="s">
        <v>149</v>
      </c>
      <c r="AQ2" s="5">
        <v>5</v>
      </c>
      <c r="AR2" s="5" t="s">
        <v>127</v>
      </c>
      <c r="AS2" s="5">
        <v>2</v>
      </c>
      <c r="AT2" s="5" t="s">
        <v>63</v>
      </c>
      <c r="AU2" s="5">
        <v>3</v>
      </c>
      <c r="AV2" s="5" t="s">
        <v>69</v>
      </c>
      <c r="AW2" s="5">
        <v>5</v>
      </c>
      <c r="AX2" s="5" t="s">
        <v>75</v>
      </c>
      <c r="AY2" s="5" t="e">
        <v>#REF!</v>
      </c>
      <c r="AZ2" s="5" t="e">
        <v>#REF!</v>
      </c>
      <c r="BA2" s="5">
        <v>2</v>
      </c>
      <c r="BB2" s="5" t="s">
        <v>84</v>
      </c>
      <c r="BC2" s="5">
        <v>3</v>
      </c>
      <c r="BD2" s="5" t="s">
        <v>90</v>
      </c>
      <c r="BE2" s="5">
        <v>2</v>
      </c>
      <c r="BF2" s="5" t="s">
        <v>92</v>
      </c>
      <c r="BG2" s="5" t="b">
        <v>1</v>
      </c>
      <c r="BH2" s="5" t="b">
        <v>1</v>
      </c>
      <c r="BI2" s="5" t="b">
        <v>0</v>
      </c>
      <c r="BJ2" s="5" t="b">
        <v>0</v>
      </c>
      <c r="BK2" s="5">
        <v>2</v>
      </c>
      <c r="BL2" s="5">
        <v>2</v>
      </c>
      <c r="BM2" s="5" t="s">
        <v>95</v>
      </c>
      <c r="BN2" s="5" t="s">
        <v>150</v>
      </c>
      <c r="BO2" s="5">
        <v>2</v>
      </c>
      <c r="BP2" s="5" t="s">
        <v>101</v>
      </c>
      <c r="BQ2" s="5" t="s">
        <v>143</v>
      </c>
      <c r="BR2" s="5">
        <v>2</v>
      </c>
      <c r="BS2" s="5" t="s">
        <v>105</v>
      </c>
      <c r="BT2" s="5">
        <v>2</v>
      </c>
      <c r="BU2" s="5" t="s">
        <v>111</v>
      </c>
      <c r="BV2" s="5">
        <v>3</v>
      </c>
      <c r="BW2" s="5" t="s">
        <v>117</v>
      </c>
      <c r="BX2" s="5">
        <v>2</v>
      </c>
      <c r="BY2" s="5" t="s">
        <v>122</v>
      </c>
      <c r="BZ2" s="5" t="b">
        <v>0</v>
      </c>
      <c r="CA2" s="5" t="b">
        <v>0</v>
      </c>
      <c r="CB2" s="5" t="b">
        <v>0</v>
      </c>
      <c r="CC2" s="5" t="b">
        <v>0</v>
      </c>
      <c r="CD2" s="5" t="b">
        <v>1</v>
      </c>
      <c r="CE2" s="5">
        <v>5</v>
      </c>
      <c r="CF2" s="5">
        <v>6</v>
      </c>
      <c r="CG2" s="5">
        <v>7</v>
      </c>
      <c r="CH2" s="5" t="s">
        <v>151</v>
      </c>
      <c r="CI2" s="5" t="s">
        <v>152</v>
      </c>
      <c r="CJ2" s="5" t="b">
        <v>1</v>
      </c>
      <c r="CK2" s="5" t="b">
        <v>0</v>
      </c>
      <c r="CL2" s="5" t="b">
        <v>0</v>
      </c>
      <c r="CM2" s="5" t="b">
        <v>0</v>
      </c>
      <c r="CN2" s="5" t="b">
        <v>0</v>
      </c>
      <c r="CO2" s="5" t="b">
        <v>0</v>
      </c>
      <c r="CP2" s="5" t="b">
        <v>0</v>
      </c>
      <c r="CQ2" s="5" t="b">
        <v>0</v>
      </c>
      <c r="CR2" s="5" t="b">
        <v>0</v>
      </c>
      <c r="CS2" s="5" t="b">
        <v>0</v>
      </c>
      <c r="CT2" s="5" t="b">
        <v>0</v>
      </c>
      <c r="CU2" s="5" t="b">
        <v>0</v>
      </c>
      <c r="CV2" s="5" t="b">
        <v>0</v>
      </c>
      <c r="CW2" s="5" t="b">
        <v>0</v>
      </c>
      <c r="CX2" s="5" t="b">
        <v>0</v>
      </c>
      <c r="CY2" s="5" t="b">
        <v>0</v>
      </c>
      <c r="CZ2" s="5" t="b">
        <v>0</v>
      </c>
      <c r="DA2" s="5" t="b">
        <v>0</v>
      </c>
      <c r="DB2" s="5" t="b">
        <v>0</v>
      </c>
      <c r="DC2" s="5" t="b">
        <v>0</v>
      </c>
      <c r="DD2" s="5" t="b">
        <v>0</v>
      </c>
      <c r="DE2" s="5" t="b">
        <v>0</v>
      </c>
      <c r="DF2" s="5" t="b">
        <v>0</v>
      </c>
      <c r="DG2" s="5" t="b">
        <v>0</v>
      </c>
      <c r="DH2" s="5" t="b">
        <v>0</v>
      </c>
      <c r="DI2" s="5" t="b">
        <v>0</v>
      </c>
      <c r="DJ2" s="5" t="b">
        <v>1</v>
      </c>
      <c r="DK2" s="5" t="s">
        <v>153</v>
      </c>
      <c r="DL2" s="5">
        <v>2</v>
      </c>
      <c r="DM2" s="5" t="s">
        <v>30</v>
      </c>
      <c r="DN2" s="5">
        <v>3</v>
      </c>
      <c r="DO2" s="5" t="s">
        <v>63</v>
      </c>
      <c r="DP2" s="5">
        <v>2</v>
      </c>
      <c r="DQ2" s="5" t="s">
        <v>63</v>
      </c>
      <c r="DR2" s="5">
        <v>3</v>
      </c>
      <c r="DS2" s="5" t="s">
        <v>69</v>
      </c>
      <c r="DT2" s="5">
        <v>3</v>
      </c>
      <c r="DU2" s="5" t="s">
        <v>73</v>
      </c>
      <c r="DV2" s="5">
        <v>13</v>
      </c>
      <c r="DW2" s="5" t="s">
        <v>79</v>
      </c>
      <c r="DX2" s="5">
        <v>2</v>
      </c>
      <c r="DY2" s="5" t="s">
        <v>84</v>
      </c>
      <c r="DZ2" s="5">
        <v>2</v>
      </c>
      <c r="EA2" s="5" t="s">
        <v>89</v>
      </c>
      <c r="EB2" s="5">
        <v>3</v>
      </c>
      <c r="EC2" s="5" t="s">
        <v>93</v>
      </c>
      <c r="ED2" s="5" t="b">
        <v>1</v>
      </c>
      <c r="EE2" s="5" t="b">
        <v>0</v>
      </c>
      <c r="EF2" s="5" t="b">
        <v>0</v>
      </c>
      <c r="EG2" s="5" t="b">
        <v>1</v>
      </c>
      <c r="EH2" s="5">
        <v>2</v>
      </c>
      <c r="EI2" s="5">
        <v>2</v>
      </c>
      <c r="EJ2" s="5" t="s">
        <v>138</v>
      </c>
    </row>
    <row r="3" spans="1:142" x14ac:dyDescent="0.25">
      <c r="A3" s="5">
        <v>2</v>
      </c>
      <c r="B3" s="11">
        <v>45032</v>
      </c>
      <c r="C3" s="12">
        <v>0.49722222222222223</v>
      </c>
      <c r="D3" s="12" t="str">
        <f t="shared" si="0"/>
        <v>2   04/16/2023   11:56</v>
      </c>
      <c r="E3" s="5">
        <v>2</v>
      </c>
      <c r="F3" s="5" t="s">
        <v>1</v>
      </c>
      <c r="G3" s="5">
        <v>50</v>
      </c>
      <c r="H3" s="5">
        <v>2</v>
      </c>
      <c r="I3" s="5" t="s">
        <v>2</v>
      </c>
      <c r="J3" s="5">
        <v>6</v>
      </c>
      <c r="K3" s="5" t="s">
        <v>15</v>
      </c>
      <c r="L3" s="5" t="b">
        <v>1</v>
      </c>
      <c r="M3" s="5" t="b">
        <v>0</v>
      </c>
      <c r="N3" s="5" t="b">
        <v>0</v>
      </c>
      <c r="O3" s="5" t="b">
        <v>0</v>
      </c>
      <c r="P3" s="5" t="b">
        <v>0</v>
      </c>
      <c r="Q3" s="5" t="b">
        <v>0</v>
      </c>
      <c r="R3" s="5" t="b">
        <v>0</v>
      </c>
      <c r="S3" s="5" t="b">
        <v>1</v>
      </c>
      <c r="T3" s="5" t="b">
        <v>0</v>
      </c>
      <c r="U3" s="5" t="b">
        <v>0</v>
      </c>
      <c r="V3" s="5" t="b">
        <v>0</v>
      </c>
      <c r="W3" s="5" t="b">
        <v>0</v>
      </c>
      <c r="X3" s="5" t="b">
        <v>0</v>
      </c>
      <c r="Y3" s="5" t="b">
        <v>0</v>
      </c>
      <c r="Z3" s="5" t="b">
        <v>1</v>
      </c>
      <c r="AA3" s="5" t="b">
        <v>0</v>
      </c>
      <c r="AB3" s="5" t="b">
        <v>0</v>
      </c>
      <c r="AC3" s="5" t="b">
        <v>0</v>
      </c>
      <c r="AD3" s="5" t="b">
        <v>0</v>
      </c>
      <c r="AE3" s="5" t="b">
        <v>0</v>
      </c>
      <c r="AF3" s="5" t="b">
        <v>0</v>
      </c>
      <c r="AG3" s="5" t="b">
        <v>0</v>
      </c>
      <c r="AH3" s="5" t="b">
        <v>0</v>
      </c>
      <c r="AI3" s="5" t="b">
        <v>0</v>
      </c>
      <c r="AJ3" s="5" t="b">
        <v>1</v>
      </c>
      <c r="AK3" s="5" t="b">
        <v>0</v>
      </c>
      <c r="AL3" s="5" t="b">
        <v>1</v>
      </c>
      <c r="AM3" s="5">
        <v>2</v>
      </c>
      <c r="AN3" s="5" t="s">
        <v>30</v>
      </c>
      <c r="AO3" s="5" t="s">
        <v>292</v>
      </c>
      <c r="AP3" s="5" t="s">
        <v>293</v>
      </c>
      <c r="AQ3" s="5">
        <v>2</v>
      </c>
      <c r="AR3" s="5" t="s">
        <v>130</v>
      </c>
      <c r="AS3" s="5">
        <v>2</v>
      </c>
      <c r="AT3" s="5" t="s">
        <v>63</v>
      </c>
      <c r="AU3" s="5">
        <v>5</v>
      </c>
      <c r="AV3" s="5" t="s">
        <v>70</v>
      </c>
      <c r="AW3" s="5">
        <v>2</v>
      </c>
      <c r="AX3" s="5" t="s">
        <v>72</v>
      </c>
      <c r="AY3" s="5">
        <v>12</v>
      </c>
      <c r="AZ3" s="5" t="s">
        <v>80</v>
      </c>
      <c r="BA3" s="5">
        <v>2</v>
      </c>
      <c r="BB3" s="5" t="s">
        <v>84</v>
      </c>
      <c r="BC3" s="5">
        <v>3</v>
      </c>
      <c r="BD3" s="5" t="s">
        <v>90</v>
      </c>
      <c r="BE3" s="5">
        <v>2</v>
      </c>
      <c r="BF3" s="5" t="s">
        <v>92</v>
      </c>
      <c r="BG3" s="5" t="b">
        <v>1</v>
      </c>
      <c r="BH3" s="5" t="b">
        <v>0</v>
      </c>
      <c r="BI3" s="5" t="b">
        <v>1</v>
      </c>
      <c r="BJ3" s="5" t="b">
        <v>1</v>
      </c>
      <c r="BK3" s="5">
        <v>3</v>
      </c>
      <c r="BL3" s="5">
        <v>2</v>
      </c>
      <c r="BM3" s="5" t="s">
        <v>95</v>
      </c>
      <c r="BN3" s="5" t="s">
        <v>294</v>
      </c>
      <c r="BO3" s="5">
        <v>2</v>
      </c>
      <c r="BP3" s="5" t="s">
        <v>101</v>
      </c>
      <c r="BQ3" s="5" t="s">
        <v>295</v>
      </c>
      <c r="BR3" s="5">
        <v>2</v>
      </c>
      <c r="BS3" s="5" t="s">
        <v>105</v>
      </c>
      <c r="BT3" s="5">
        <v>2</v>
      </c>
      <c r="BU3" s="5" t="s">
        <v>111</v>
      </c>
      <c r="BV3" s="5">
        <v>2</v>
      </c>
      <c r="BW3" s="5" t="s">
        <v>116</v>
      </c>
      <c r="BX3" s="5">
        <v>2</v>
      </c>
      <c r="BY3" s="5" t="s">
        <v>122</v>
      </c>
      <c r="BZ3" s="5" t="b">
        <v>1</v>
      </c>
      <c r="CA3" s="5" t="b">
        <v>1</v>
      </c>
      <c r="CB3" s="5" t="b">
        <v>1</v>
      </c>
      <c r="CC3" s="5" t="b">
        <v>1</v>
      </c>
      <c r="CD3" s="5" t="b">
        <v>1</v>
      </c>
      <c r="CE3" s="5">
        <v>5</v>
      </c>
      <c r="CF3" s="5">
        <v>6</v>
      </c>
      <c r="CG3" s="5">
        <v>9</v>
      </c>
      <c r="CH3" s="5" t="s">
        <v>296</v>
      </c>
      <c r="CI3" s="5" t="s">
        <v>297</v>
      </c>
      <c r="CJ3" s="5" t="b">
        <v>1</v>
      </c>
      <c r="CK3" s="5" t="b">
        <v>0</v>
      </c>
      <c r="CL3" s="5" t="b">
        <v>0</v>
      </c>
      <c r="CM3" s="5" t="b">
        <v>1</v>
      </c>
      <c r="CN3" s="5" t="b">
        <v>0</v>
      </c>
      <c r="CO3" s="5" t="b">
        <v>0</v>
      </c>
      <c r="CP3" s="5" t="b">
        <v>0</v>
      </c>
      <c r="CQ3" s="5" t="b">
        <v>0</v>
      </c>
      <c r="CR3" s="5" t="b">
        <v>0</v>
      </c>
      <c r="CS3" s="5" t="b">
        <v>0</v>
      </c>
      <c r="CT3" s="5" t="b">
        <v>0</v>
      </c>
      <c r="CU3" s="5" t="b">
        <v>0</v>
      </c>
      <c r="CV3" s="5" t="b">
        <v>0</v>
      </c>
      <c r="CW3" s="5" t="b">
        <v>1</v>
      </c>
      <c r="CX3" s="5" t="b">
        <v>0</v>
      </c>
      <c r="CY3" s="5" t="b">
        <v>0</v>
      </c>
      <c r="CZ3" s="5" t="b">
        <v>0</v>
      </c>
      <c r="DA3" s="5" t="b">
        <v>0</v>
      </c>
      <c r="DB3" s="5" t="b">
        <v>0</v>
      </c>
      <c r="DC3" s="5" t="b">
        <v>0</v>
      </c>
      <c r="DD3" s="5" t="b">
        <v>0</v>
      </c>
      <c r="DE3" s="5" t="b">
        <v>0</v>
      </c>
      <c r="DF3" s="5" t="b">
        <v>0</v>
      </c>
      <c r="DG3" s="5" t="b">
        <v>0</v>
      </c>
      <c r="DH3" s="5" t="b">
        <v>0</v>
      </c>
      <c r="DI3" s="5" t="b">
        <v>0</v>
      </c>
      <c r="DJ3" s="5" t="b">
        <v>1</v>
      </c>
      <c r="DK3" s="5" t="s">
        <v>298</v>
      </c>
      <c r="DL3" s="5">
        <v>2</v>
      </c>
      <c r="DM3" s="5" t="s">
        <v>30</v>
      </c>
      <c r="DN3" s="5">
        <v>3</v>
      </c>
      <c r="DO3" s="5" t="s">
        <v>63</v>
      </c>
      <c r="DP3" s="5">
        <v>2</v>
      </c>
      <c r="DQ3" s="5" t="s">
        <v>63</v>
      </c>
      <c r="DR3" s="5">
        <v>4</v>
      </c>
      <c r="DS3" s="5" t="s">
        <v>77</v>
      </c>
      <c r="DT3" s="5">
        <v>7</v>
      </c>
      <c r="DU3" s="5" t="s">
        <v>66</v>
      </c>
      <c r="DV3" s="5">
        <v>8</v>
      </c>
      <c r="DW3" s="5" t="s">
        <v>81</v>
      </c>
      <c r="DX3" s="5">
        <v>2</v>
      </c>
      <c r="DY3" s="5" t="s">
        <v>84</v>
      </c>
      <c r="DZ3" s="5">
        <v>3</v>
      </c>
      <c r="EA3" s="5" t="s">
        <v>90</v>
      </c>
      <c r="EB3" s="5">
        <v>3</v>
      </c>
      <c r="EC3" s="5" t="s">
        <v>93</v>
      </c>
      <c r="ED3" s="5" t="b">
        <v>1</v>
      </c>
      <c r="EE3" s="5" t="b">
        <v>0</v>
      </c>
      <c r="EF3" s="5" t="b">
        <v>0</v>
      </c>
      <c r="EG3" s="5" t="b">
        <v>1</v>
      </c>
      <c r="EH3" s="5">
        <v>2</v>
      </c>
      <c r="EI3" s="5">
        <v>3</v>
      </c>
      <c r="EJ3" s="5" t="s">
        <v>139</v>
      </c>
    </row>
    <row r="4" spans="1:142" x14ac:dyDescent="0.25">
      <c r="A4" s="5">
        <v>3</v>
      </c>
      <c r="B4" s="11">
        <v>45032</v>
      </c>
      <c r="C4" s="12">
        <v>0.52013888888888882</v>
      </c>
      <c r="D4" s="12" t="str">
        <f t="shared" si="0"/>
        <v>3   04/16/2023   12:29</v>
      </c>
      <c r="E4" s="5">
        <v>2</v>
      </c>
      <c r="F4" s="5" t="s">
        <v>1</v>
      </c>
      <c r="G4" s="5">
        <v>50</v>
      </c>
      <c r="H4" s="5">
        <v>2</v>
      </c>
      <c r="I4" s="5" t="s">
        <v>2</v>
      </c>
      <c r="J4" s="5">
        <v>6</v>
      </c>
      <c r="K4" s="5" t="s">
        <v>15</v>
      </c>
      <c r="L4" s="5" t="b">
        <v>1</v>
      </c>
      <c r="M4" s="5" t="b">
        <v>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1</v>
      </c>
      <c r="T4" s="5" t="b">
        <v>0</v>
      </c>
      <c r="U4" s="5" t="b">
        <v>0</v>
      </c>
      <c r="V4" s="5" t="b">
        <v>0</v>
      </c>
      <c r="W4" s="5" t="b">
        <v>0</v>
      </c>
      <c r="X4" s="5" t="b">
        <v>0</v>
      </c>
      <c r="Y4" s="5" t="b">
        <v>0</v>
      </c>
      <c r="Z4" s="5" t="b">
        <v>1</v>
      </c>
      <c r="AA4" s="5" t="b">
        <v>0</v>
      </c>
      <c r="AB4" s="5" t="b">
        <v>0</v>
      </c>
      <c r="AC4" s="5" t="b">
        <v>0</v>
      </c>
      <c r="AD4" s="5" t="b">
        <v>0</v>
      </c>
      <c r="AE4" s="5" t="b">
        <v>0</v>
      </c>
      <c r="AF4" s="5" t="b">
        <v>0</v>
      </c>
      <c r="AG4" s="5" t="b">
        <v>0</v>
      </c>
      <c r="AH4" s="5" t="b">
        <v>0</v>
      </c>
      <c r="AI4" s="5" t="b">
        <v>0</v>
      </c>
      <c r="AJ4" s="5" t="b">
        <v>1</v>
      </c>
      <c r="AK4" s="5" t="b">
        <v>0</v>
      </c>
      <c r="AL4" s="5" t="b">
        <v>1</v>
      </c>
      <c r="AM4" s="5">
        <v>2</v>
      </c>
      <c r="AN4" s="5" t="s">
        <v>30</v>
      </c>
      <c r="AO4" s="5" t="s">
        <v>292</v>
      </c>
      <c r="AP4" s="5" t="s">
        <v>293</v>
      </c>
      <c r="AQ4" s="5">
        <v>2</v>
      </c>
      <c r="AR4" s="5" t="s">
        <v>130</v>
      </c>
      <c r="AS4" s="5">
        <v>2</v>
      </c>
      <c r="AT4" s="5" t="s">
        <v>63</v>
      </c>
      <c r="AU4" s="5">
        <v>5</v>
      </c>
      <c r="AV4" s="5" t="s">
        <v>70</v>
      </c>
      <c r="AW4" s="5">
        <v>2</v>
      </c>
      <c r="AX4" s="5" t="s">
        <v>72</v>
      </c>
      <c r="AY4" s="5">
        <v>12</v>
      </c>
      <c r="AZ4" s="5" t="s">
        <v>80</v>
      </c>
      <c r="BA4" s="5">
        <v>2</v>
      </c>
      <c r="BB4" s="5" t="s">
        <v>84</v>
      </c>
      <c r="BC4" s="5">
        <v>3</v>
      </c>
      <c r="BD4" s="5" t="s">
        <v>90</v>
      </c>
      <c r="BE4" s="5">
        <v>2</v>
      </c>
      <c r="BF4" s="5" t="s">
        <v>92</v>
      </c>
      <c r="BG4" s="5" t="b">
        <v>1</v>
      </c>
      <c r="BH4" s="5" t="b">
        <v>0</v>
      </c>
      <c r="BI4" s="5" t="b">
        <v>1</v>
      </c>
      <c r="BJ4" s="5" t="b">
        <v>1</v>
      </c>
      <c r="BK4" s="5">
        <v>3</v>
      </c>
      <c r="BL4" s="5">
        <v>2</v>
      </c>
      <c r="BM4" s="5" t="s">
        <v>95</v>
      </c>
      <c r="BN4" s="5" t="s">
        <v>294</v>
      </c>
      <c r="BO4" s="5">
        <v>2</v>
      </c>
      <c r="BP4" s="5" t="s">
        <v>101</v>
      </c>
      <c r="BQ4" s="5" t="s">
        <v>295</v>
      </c>
      <c r="BR4" s="5">
        <v>2</v>
      </c>
      <c r="BS4" s="5" t="s">
        <v>105</v>
      </c>
      <c r="BT4" s="5">
        <v>2</v>
      </c>
      <c r="BU4" s="5" t="s">
        <v>111</v>
      </c>
      <c r="BV4" s="5">
        <v>2</v>
      </c>
      <c r="BW4" s="5" t="s">
        <v>116</v>
      </c>
      <c r="BX4" s="5">
        <v>2</v>
      </c>
      <c r="BY4" s="5" t="s">
        <v>122</v>
      </c>
      <c r="BZ4" s="5" t="b">
        <v>1</v>
      </c>
      <c r="CA4" s="5" t="b">
        <v>1</v>
      </c>
      <c r="CB4" s="5" t="b">
        <v>1</v>
      </c>
      <c r="CC4" s="5" t="b">
        <v>1</v>
      </c>
      <c r="CD4" s="5" t="b">
        <v>1</v>
      </c>
      <c r="CE4" s="5">
        <v>5</v>
      </c>
      <c r="CF4" s="5">
        <v>6</v>
      </c>
      <c r="CG4" s="5">
        <v>9</v>
      </c>
      <c r="CH4" s="5" t="s">
        <v>296</v>
      </c>
      <c r="CI4" s="5" t="s">
        <v>297</v>
      </c>
      <c r="CJ4" s="5" t="b">
        <v>1</v>
      </c>
      <c r="CK4" s="5" t="b">
        <v>0</v>
      </c>
      <c r="CL4" s="5" t="b">
        <v>0</v>
      </c>
      <c r="CM4" s="5" t="b">
        <v>1</v>
      </c>
      <c r="CN4" s="5" t="b">
        <v>0</v>
      </c>
      <c r="CO4" s="5" t="b">
        <v>0</v>
      </c>
      <c r="CP4" s="5" t="b">
        <v>0</v>
      </c>
      <c r="CQ4" s="5" t="b">
        <v>0</v>
      </c>
      <c r="CR4" s="5" t="b">
        <v>0</v>
      </c>
      <c r="CS4" s="5" t="b">
        <v>0</v>
      </c>
      <c r="CT4" s="5" t="b">
        <v>0</v>
      </c>
      <c r="CU4" s="5" t="b">
        <v>0</v>
      </c>
      <c r="CV4" s="5" t="b">
        <v>0</v>
      </c>
      <c r="CW4" s="5" t="b">
        <v>1</v>
      </c>
      <c r="CX4" s="5" t="b">
        <v>0</v>
      </c>
      <c r="CY4" s="5" t="b">
        <v>0</v>
      </c>
      <c r="CZ4" s="5" t="b">
        <v>0</v>
      </c>
      <c r="DA4" s="5" t="b">
        <v>0</v>
      </c>
      <c r="DB4" s="5" t="b">
        <v>0</v>
      </c>
      <c r="DC4" s="5" t="b">
        <v>0</v>
      </c>
      <c r="DD4" s="5" t="b">
        <v>0</v>
      </c>
      <c r="DE4" s="5" t="b">
        <v>0</v>
      </c>
      <c r="DF4" s="5" t="b">
        <v>0</v>
      </c>
      <c r="DG4" s="5" t="b">
        <v>0</v>
      </c>
      <c r="DH4" s="5" t="b">
        <v>0</v>
      </c>
      <c r="DI4" s="5" t="b">
        <v>0</v>
      </c>
      <c r="DJ4" s="5" t="b">
        <v>1</v>
      </c>
      <c r="DK4" s="5" t="s">
        <v>298</v>
      </c>
      <c r="DL4" s="5">
        <v>2</v>
      </c>
      <c r="DM4" s="5" t="s">
        <v>30</v>
      </c>
      <c r="DN4" s="5">
        <v>3</v>
      </c>
      <c r="DO4" s="5" t="s">
        <v>63</v>
      </c>
      <c r="DP4" s="5">
        <v>2</v>
      </c>
      <c r="DQ4" s="5" t="s">
        <v>63</v>
      </c>
      <c r="DR4" s="5">
        <v>4</v>
      </c>
      <c r="DS4" s="5" t="s">
        <v>77</v>
      </c>
      <c r="DT4" s="5">
        <v>7</v>
      </c>
      <c r="DU4" s="5" t="s">
        <v>66</v>
      </c>
      <c r="DV4" s="5">
        <v>8</v>
      </c>
      <c r="DW4" s="5" t="s">
        <v>81</v>
      </c>
      <c r="DX4" s="5">
        <v>2</v>
      </c>
      <c r="DY4" s="5" t="s">
        <v>84</v>
      </c>
      <c r="DZ4" s="5">
        <v>3</v>
      </c>
      <c r="EA4" s="5" t="s">
        <v>90</v>
      </c>
      <c r="EB4" s="5">
        <v>3</v>
      </c>
      <c r="EC4" s="5" t="s">
        <v>93</v>
      </c>
      <c r="ED4" s="5" t="b">
        <v>1</v>
      </c>
      <c r="EE4" s="5" t="b">
        <v>0</v>
      </c>
      <c r="EF4" s="5" t="b">
        <v>0</v>
      </c>
      <c r="EG4" s="5" t="b">
        <v>1</v>
      </c>
      <c r="EH4" s="5">
        <v>2</v>
      </c>
      <c r="EI4" s="5">
        <v>3</v>
      </c>
      <c r="EJ4" s="5" t="s">
        <v>139</v>
      </c>
    </row>
    <row r="5" spans="1:142" x14ac:dyDescent="0.25">
      <c r="A5" s="5">
        <v>4</v>
      </c>
      <c r="B5" s="11">
        <v>45032</v>
      </c>
      <c r="C5" s="12">
        <v>0.54513888888888895</v>
      </c>
      <c r="D5" s="12" t="str">
        <f t="shared" si="0"/>
        <v>4   04/16/2023   13:05</v>
      </c>
      <c r="E5" s="5">
        <v>2</v>
      </c>
      <c r="F5" t="s">
        <v>1</v>
      </c>
      <c r="G5">
        <v>50</v>
      </c>
      <c r="H5">
        <v>2</v>
      </c>
      <c r="I5" t="s">
        <v>2</v>
      </c>
      <c r="J5">
        <v>6</v>
      </c>
      <c r="K5" t="s">
        <v>15</v>
      </c>
      <c r="L5" t="b">
        <v>1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1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1</v>
      </c>
      <c r="AA5" t="b">
        <v>0</v>
      </c>
      <c r="AB5" t="b">
        <v>0</v>
      </c>
      <c r="AC5" t="b">
        <v>0</v>
      </c>
      <c r="AD5" t="b">
        <v>0</v>
      </c>
      <c r="AE5" t="b">
        <v>0</v>
      </c>
      <c r="AF5" t="b">
        <v>0</v>
      </c>
      <c r="AG5" t="b">
        <v>0</v>
      </c>
      <c r="AH5" t="b">
        <v>0</v>
      </c>
      <c r="AI5" t="b">
        <v>0</v>
      </c>
      <c r="AJ5" t="b">
        <v>1</v>
      </c>
      <c r="AK5" t="b">
        <v>0</v>
      </c>
      <c r="AL5" t="b">
        <v>1</v>
      </c>
      <c r="AM5">
        <v>2</v>
      </c>
      <c r="AN5" t="s">
        <v>30</v>
      </c>
      <c r="AO5" t="s">
        <v>292</v>
      </c>
      <c r="AP5" t="s">
        <v>293</v>
      </c>
      <c r="AQ5">
        <v>2</v>
      </c>
      <c r="AR5" t="s">
        <v>130</v>
      </c>
      <c r="AS5">
        <v>2</v>
      </c>
      <c r="AT5" t="s">
        <v>63</v>
      </c>
      <c r="AU5">
        <v>5</v>
      </c>
      <c r="AV5" t="s">
        <v>70</v>
      </c>
      <c r="AW5">
        <v>2</v>
      </c>
      <c r="AX5" t="s">
        <v>72</v>
      </c>
      <c r="AY5">
        <v>12</v>
      </c>
      <c r="AZ5" t="s">
        <v>80</v>
      </c>
      <c r="BA5">
        <v>2</v>
      </c>
      <c r="BB5" t="s">
        <v>84</v>
      </c>
      <c r="BC5">
        <v>3</v>
      </c>
      <c r="BD5" t="s">
        <v>90</v>
      </c>
      <c r="BE5">
        <v>2</v>
      </c>
      <c r="BF5" t="s">
        <v>92</v>
      </c>
      <c r="BG5" t="b">
        <v>1</v>
      </c>
      <c r="BH5" t="b">
        <v>0</v>
      </c>
      <c r="BI5" t="b">
        <v>1</v>
      </c>
      <c r="BJ5" t="b">
        <v>1</v>
      </c>
      <c r="BK5">
        <v>3</v>
      </c>
      <c r="BL5">
        <v>2</v>
      </c>
      <c r="BM5" t="s">
        <v>95</v>
      </c>
      <c r="BN5" t="s">
        <v>294</v>
      </c>
      <c r="BO5">
        <v>2</v>
      </c>
      <c r="BP5" t="s">
        <v>101</v>
      </c>
      <c r="BQ5" t="s">
        <v>295</v>
      </c>
      <c r="BR5">
        <v>2</v>
      </c>
      <c r="BS5" t="s">
        <v>105</v>
      </c>
      <c r="BT5">
        <v>2</v>
      </c>
      <c r="BU5" t="s">
        <v>111</v>
      </c>
      <c r="BV5">
        <v>2</v>
      </c>
      <c r="BW5" t="s">
        <v>116</v>
      </c>
      <c r="BX5">
        <v>2</v>
      </c>
      <c r="BY5" t="s">
        <v>122</v>
      </c>
      <c r="BZ5" t="b">
        <v>1</v>
      </c>
      <c r="CA5" t="b">
        <v>1</v>
      </c>
      <c r="CB5" t="b">
        <v>1</v>
      </c>
      <c r="CC5" t="b">
        <v>1</v>
      </c>
      <c r="CD5" t="b">
        <v>1</v>
      </c>
      <c r="CE5">
        <v>5</v>
      </c>
      <c r="CF5">
        <v>6</v>
      </c>
      <c r="CG5">
        <v>9</v>
      </c>
      <c r="CH5" t="s">
        <v>296</v>
      </c>
      <c r="CI5" t="s">
        <v>297</v>
      </c>
      <c r="CJ5" t="b">
        <v>1</v>
      </c>
      <c r="CK5" t="b">
        <v>0</v>
      </c>
      <c r="CL5" t="b">
        <v>0</v>
      </c>
      <c r="CM5" t="b">
        <v>1</v>
      </c>
      <c r="CN5" t="b">
        <v>0</v>
      </c>
      <c r="CO5" t="b">
        <v>0</v>
      </c>
      <c r="CP5" t="b">
        <v>0</v>
      </c>
      <c r="CQ5" t="b">
        <v>0</v>
      </c>
      <c r="CR5" t="b">
        <v>0</v>
      </c>
      <c r="CS5" t="b">
        <v>0</v>
      </c>
      <c r="CT5" t="b">
        <v>0</v>
      </c>
      <c r="CU5" t="b">
        <v>0</v>
      </c>
      <c r="CV5" t="b">
        <v>0</v>
      </c>
      <c r="CW5" t="b">
        <v>1</v>
      </c>
      <c r="CX5" t="b">
        <v>0</v>
      </c>
      <c r="CY5" t="b">
        <v>0</v>
      </c>
      <c r="CZ5" t="b">
        <v>0</v>
      </c>
      <c r="DA5" t="b">
        <v>0</v>
      </c>
      <c r="DB5" t="b">
        <v>0</v>
      </c>
      <c r="DC5" t="b">
        <v>0</v>
      </c>
      <c r="DD5" t="b">
        <v>0</v>
      </c>
      <c r="DE5" t="b">
        <v>0</v>
      </c>
      <c r="DF5" t="b">
        <v>0</v>
      </c>
      <c r="DG5" t="b">
        <v>0</v>
      </c>
      <c r="DH5" t="b">
        <v>0</v>
      </c>
      <c r="DI5" t="b">
        <v>0</v>
      </c>
      <c r="DJ5" t="b">
        <v>1</v>
      </c>
      <c r="DK5" t="s">
        <v>298</v>
      </c>
      <c r="DL5">
        <v>2</v>
      </c>
      <c r="DM5" t="s">
        <v>30</v>
      </c>
      <c r="DN5">
        <v>3</v>
      </c>
      <c r="DO5" t="s">
        <v>63</v>
      </c>
      <c r="DP5">
        <v>2</v>
      </c>
      <c r="DQ5" t="s">
        <v>63</v>
      </c>
      <c r="DR5">
        <v>4</v>
      </c>
      <c r="DS5" t="s">
        <v>77</v>
      </c>
      <c r="DT5">
        <v>7</v>
      </c>
      <c r="DU5" t="s">
        <v>66</v>
      </c>
      <c r="DV5">
        <v>8</v>
      </c>
      <c r="DW5" t="s">
        <v>81</v>
      </c>
      <c r="DX5">
        <v>2</v>
      </c>
      <c r="DY5" t="s">
        <v>84</v>
      </c>
      <c r="DZ5">
        <v>3</v>
      </c>
      <c r="EA5" t="s">
        <v>90</v>
      </c>
      <c r="EB5">
        <v>3</v>
      </c>
      <c r="EC5" t="s">
        <v>93</v>
      </c>
      <c r="ED5" t="b">
        <v>1</v>
      </c>
      <c r="EE5" t="b">
        <v>0</v>
      </c>
      <c r="EF5" t="b">
        <v>0</v>
      </c>
      <c r="EG5" t="b">
        <v>1</v>
      </c>
      <c r="EH5">
        <v>2</v>
      </c>
      <c r="EI5">
        <v>3</v>
      </c>
      <c r="EJ5" t="s">
        <v>139</v>
      </c>
    </row>
    <row r="6" spans="1:142" x14ac:dyDescent="0.25">
      <c r="A6" s="5">
        <v>5</v>
      </c>
      <c r="B6" s="11">
        <v>45032</v>
      </c>
      <c r="C6" s="12">
        <v>0.54513888888888895</v>
      </c>
      <c r="D6" s="12" t="str">
        <f t="shared" si="0"/>
        <v>5   04/16/2023   13:05</v>
      </c>
      <c r="E6" s="5">
        <v>2</v>
      </c>
      <c r="F6" s="5" t="s">
        <v>1</v>
      </c>
      <c r="G6" s="5">
        <v>50</v>
      </c>
      <c r="H6" s="5">
        <v>2</v>
      </c>
      <c r="I6" s="5" t="s">
        <v>2</v>
      </c>
      <c r="J6" s="5">
        <v>6</v>
      </c>
      <c r="K6" s="5" t="s">
        <v>15</v>
      </c>
      <c r="L6" s="5" t="b">
        <v>1</v>
      </c>
      <c r="M6" s="5" t="b">
        <v>0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1</v>
      </c>
      <c r="T6" s="5" t="b">
        <v>0</v>
      </c>
      <c r="U6" s="5" t="b">
        <v>0</v>
      </c>
      <c r="V6" s="5" t="b">
        <v>0</v>
      </c>
      <c r="W6" s="5" t="b">
        <v>0</v>
      </c>
      <c r="X6" s="5" t="b">
        <v>0</v>
      </c>
      <c r="Y6" s="5" t="b">
        <v>0</v>
      </c>
      <c r="Z6" s="5" t="b">
        <v>1</v>
      </c>
      <c r="AA6" s="5" t="b">
        <v>0</v>
      </c>
      <c r="AB6" s="5" t="b">
        <v>0</v>
      </c>
      <c r="AC6" s="5" t="b">
        <v>0</v>
      </c>
      <c r="AD6" s="5" t="b">
        <v>0</v>
      </c>
      <c r="AE6" s="5" t="b">
        <v>0</v>
      </c>
      <c r="AF6" s="5" t="b">
        <v>0</v>
      </c>
      <c r="AG6" s="5" t="b">
        <v>0</v>
      </c>
      <c r="AH6" s="5" t="b">
        <v>0</v>
      </c>
      <c r="AI6" s="5" t="b">
        <v>0</v>
      </c>
      <c r="AJ6" s="5" t="b">
        <v>1</v>
      </c>
      <c r="AK6" s="5" t="b">
        <v>0</v>
      </c>
      <c r="AL6" s="5" t="b">
        <v>1</v>
      </c>
      <c r="AM6" s="5">
        <v>2</v>
      </c>
      <c r="AN6" s="5" t="s">
        <v>30</v>
      </c>
      <c r="AO6" s="5" t="s">
        <v>292</v>
      </c>
      <c r="AP6" s="5" t="s">
        <v>293</v>
      </c>
      <c r="AQ6" s="5">
        <v>2</v>
      </c>
      <c r="AR6" s="5" t="s">
        <v>130</v>
      </c>
      <c r="AS6" s="5">
        <v>2</v>
      </c>
      <c r="AT6" s="5" t="s">
        <v>63</v>
      </c>
      <c r="AU6" s="5">
        <v>5</v>
      </c>
      <c r="AV6" s="5" t="s">
        <v>70</v>
      </c>
      <c r="AW6" s="5">
        <v>2</v>
      </c>
      <c r="AX6" s="5" t="s">
        <v>72</v>
      </c>
      <c r="AY6" s="5">
        <v>12</v>
      </c>
      <c r="AZ6" s="5" t="s">
        <v>80</v>
      </c>
      <c r="BA6" s="5">
        <v>2</v>
      </c>
      <c r="BB6" s="5" t="s">
        <v>84</v>
      </c>
      <c r="BC6" s="5">
        <v>3</v>
      </c>
      <c r="BD6" s="5" t="s">
        <v>90</v>
      </c>
      <c r="BE6" s="5">
        <v>2</v>
      </c>
      <c r="BF6" s="5" t="s">
        <v>92</v>
      </c>
      <c r="BG6" s="5" t="b">
        <v>1</v>
      </c>
      <c r="BH6" s="5" t="b">
        <v>0</v>
      </c>
      <c r="BI6" s="5" t="b">
        <v>1</v>
      </c>
      <c r="BJ6" s="5" t="b">
        <v>1</v>
      </c>
      <c r="BK6" s="5">
        <v>3</v>
      </c>
      <c r="BL6" s="5">
        <v>2</v>
      </c>
      <c r="BM6" s="5" t="s">
        <v>95</v>
      </c>
      <c r="BN6" s="5" t="s">
        <v>294</v>
      </c>
      <c r="BO6" s="5">
        <v>2</v>
      </c>
      <c r="BP6" s="5" t="s">
        <v>101</v>
      </c>
      <c r="BQ6" s="5" t="s">
        <v>295</v>
      </c>
      <c r="BR6" s="5">
        <v>2</v>
      </c>
      <c r="BS6" s="5" t="s">
        <v>105</v>
      </c>
      <c r="BT6" s="5">
        <v>2</v>
      </c>
      <c r="BU6" s="5" t="s">
        <v>111</v>
      </c>
      <c r="BV6" s="5">
        <v>2</v>
      </c>
      <c r="BW6" s="5" t="s">
        <v>116</v>
      </c>
      <c r="BX6" s="5">
        <v>2</v>
      </c>
      <c r="BY6" s="5" t="s">
        <v>122</v>
      </c>
      <c r="BZ6" s="5" t="b">
        <v>1</v>
      </c>
      <c r="CA6" s="5" t="b">
        <v>1</v>
      </c>
      <c r="CB6" s="5" t="b">
        <v>1</v>
      </c>
      <c r="CC6" s="5" t="b">
        <v>1</v>
      </c>
      <c r="CD6" s="5" t="b">
        <v>1</v>
      </c>
      <c r="CE6" s="5">
        <v>5</v>
      </c>
      <c r="CF6" s="5">
        <v>6</v>
      </c>
      <c r="CG6" s="5">
        <v>9</v>
      </c>
      <c r="CH6" s="5" t="s">
        <v>296</v>
      </c>
      <c r="CI6" s="5" t="s">
        <v>297</v>
      </c>
      <c r="CJ6" s="5" t="b">
        <v>1</v>
      </c>
      <c r="CK6" s="5" t="b">
        <v>0</v>
      </c>
      <c r="CL6" s="5" t="b">
        <v>0</v>
      </c>
      <c r="CM6" s="5" t="b">
        <v>1</v>
      </c>
      <c r="CN6" s="5" t="b">
        <v>0</v>
      </c>
      <c r="CO6" s="5" t="b">
        <v>0</v>
      </c>
      <c r="CP6" s="5" t="b">
        <v>0</v>
      </c>
      <c r="CQ6" s="5" t="b">
        <v>0</v>
      </c>
      <c r="CR6" s="5" t="b">
        <v>0</v>
      </c>
      <c r="CS6" s="5" t="b">
        <v>0</v>
      </c>
      <c r="CT6" s="5" t="b">
        <v>0</v>
      </c>
      <c r="CU6" s="5" t="b">
        <v>0</v>
      </c>
      <c r="CV6" s="5" t="b">
        <v>0</v>
      </c>
      <c r="CW6" s="5" t="b">
        <v>1</v>
      </c>
      <c r="CX6" s="5" t="b">
        <v>0</v>
      </c>
      <c r="CY6" s="5" t="b">
        <v>0</v>
      </c>
      <c r="CZ6" s="5" t="b">
        <v>0</v>
      </c>
      <c r="DA6" s="5" t="b">
        <v>0</v>
      </c>
      <c r="DB6" s="5" t="b">
        <v>0</v>
      </c>
      <c r="DC6" s="5" t="b">
        <v>0</v>
      </c>
      <c r="DD6" s="5" t="b">
        <v>0</v>
      </c>
      <c r="DE6" s="5" t="b">
        <v>0</v>
      </c>
      <c r="DF6" s="5" t="b">
        <v>0</v>
      </c>
      <c r="DG6" s="5" t="b">
        <v>0</v>
      </c>
      <c r="DH6" s="5" t="b">
        <v>0</v>
      </c>
      <c r="DI6" s="5" t="b">
        <v>0</v>
      </c>
      <c r="DJ6" s="5" t="b">
        <v>1</v>
      </c>
      <c r="DK6" s="5" t="s">
        <v>298</v>
      </c>
      <c r="DL6" s="5">
        <v>2</v>
      </c>
      <c r="DM6" s="5" t="s">
        <v>30</v>
      </c>
      <c r="DN6" s="5">
        <v>3</v>
      </c>
      <c r="DO6" s="5" t="s">
        <v>63</v>
      </c>
      <c r="DP6" s="5">
        <v>2</v>
      </c>
      <c r="DQ6" s="5" t="s">
        <v>63</v>
      </c>
      <c r="DR6" s="5">
        <v>4</v>
      </c>
      <c r="DS6" s="5" t="s">
        <v>77</v>
      </c>
      <c r="DT6" s="5">
        <v>7</v>
      </c>
      <c r="DU6" s="5" t="s">
        <v>66</v>
      </c>
      <c r="DV6" s="5">
        <v>8</v>
      </c>
      <c r="DW6" s="5" t="s">
        <v>81</v>
      </c>
      <c r="DX6" s="5">
        <v>2</v>
      </c>
      <c r="DY6" s="5" t="s">
        <v>84</v>
      </c>
      <c r="DZ6" s="5">
        <v>3</v>
      </c>
      <c r="EA6" s="5" t="s">
        <v>90</v>
      </c>
      <c r="EB6" s="5">
        <v>3</v>
      </c>
      <c r="EC6" s="5" t="s">
        <v>93</v>
      </c>
      <c r="ED6" s="5" t="b">
        <v>1</v>
      </c>
      <c r="EE6" s="5" t="b">
        <v>0</v>
      </c>
      <c r="EF6" s="5" t="b">
        <v>0</v>
      </c>
      <c r="EG6" s="5" t="b">
        <v>1</v>
      </c>
      <c r="EH6" s="5">
        <v>2</v>
      </c>
      <c r="EI6" s="5">
        <v>3</v>
      </c>
      <c r="EJ6" s="5" t="s">
        <v>139</v>
      </c>
    </row>
    <row r="7" spans="1:142" x14ac:dyDescent="0.25">
      <c r="A7" s="5">
        <v>6</v>
      </c>
      <c r="B7" s="11">
        <v>45032</v>
      </c>
      <c r="C7" s="12">
        <v>0.54513888888888895</v>
      </c>
      <c r="D7" s="12" t="str">
        <f t="shared" si="0"/>
        <v>6   04/16/2023   13:05</v>
      </c>
      <c r="E7" s="5">
        <v>2</v>
      </c>
      <c r="F7" s="5" t="s">
        <v>1</v>
      </c>
      <c r="G7" s="5">
        <v>50</v>
      </c>
      <c r="H7" s="5">
        <v>2</v>
      </c>
      <c r="I7" s="5" t="s">
        <v>2</v>
      </c>
      <c r="J7" s="5">
        <v>6</v>
      </c>
      <c r="K7" s="5" t="s">
        <v>15</v>
      </c>
      <c r="L7" s="5" t="b">
        <v>1</v>
      </c>
      <c r="M7" s="5" t="b">
        <v>0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1</v>
      </c>
      <c r="T7" s="5" t="b">
        <v>0</v>
      </c>
      <c r="U7" s="5" t="b">
        <v>0</v>
      </c>
      <c r="V7" s="5" t="b">
        <v>0</v>
      </c>
      <c r="W7" s="5" t="b">
        <v>0</v>
      </c>
      <c r="X7" s="5" t="b">
        <v>0</v>
      </c>
      <c r="Y7" s="5" t="b">
        <v>0</v>
      </c>
      <c r="Z7" s="5" t="b">
        <v>1</v>
      </c>
      <c r="AA7" s="5" t="b">
        <v>0</v>
      </c>
      <c r="AB7" s="5" t="b">
        <v>0</v>
      </c>
      <c r="AC7" s="5" t="b">
        <v>0</v>
      </c>
      <c r="AD7" s="5" t="b">
        <v>0</v>
      </c>
      <c r="AE7" s="5" t="b">
        <v>0</v>
      </c>
      <c r="AF7" s="5" t="b">
        <v>0</v>
      </c>
      <c r="AG7" s="5" t="b">
        <v>0</v>
      </c>
      <c r="AH7" s="5" t="b">
        <v>0</v>
      </c>
      <c r="AI7" s="5" t="b">
        <v>0</v>
      </c>
      <c r="AJ7" s="5" t="b">
        <v>1</v>
      </c>
      <c r="AK7" s="5" t="b">
        <v>0</v>
      </c>
      <c r="AL7" s="5" t="b">
        <v>1</v>
      </c>
      <c r="AM7" s="5">
        <v>2</v>
      </c>
      <c r="AN7" s="5" t="s">
        <v>30</v>
      </c>
      <c r="AO7" s="5" t="s">
        <v>292</v>
      </c>
      <c r="AP7" s="5" t="s">
        <v>293</v>
      </c>
      <c r="AQ7" s="5">
        <v>2</v>
      </c>
      <c r="AR7" s="5" t="s">
        <v>130</v>
      </c>
      <c r="AS7" s="5">
        <v>2</v>
      </c>
      <c r="AT7" s="5" t="s">
        <v>63</v>
      </c>
      <c r="AU7" s="5">
        <v>5</v>
      </c>
      <c r="AV7" s="5" t="s">
        <v>70</v>
      </c>
      <c r="AW7" s="5">
        <v>2</v>
      </c>
      <c r="AX7" s="5" t="s">
        <v>72</v>
      </c>
      <c r="AY7" s="5">
        <v>12</v>
      </c>
      <c r="AZ7" s="5" t="s">
        <v>80</v>
      </c>
      <c r="BA7" s="5">
        <v>2</v>
      </c>
      <c r="BB7" s="5" t="s">
        <v>84</v>
      </c>
      <c r="BC7" s="5">
        <v>3</v>
      </c>
      <c r="BD7" s="5" t="s">
        <v>90</v>
      </c>
      <c r="BE7" s="5">
        <v>2</v>
      </c>
      <c r="BF7" s="5" t="s">
        <v>92</v>
      </c>
      <c r="BG7" s="5" t="b">
        <v>1</v>
      </c>
      <c r="BH7" s="5" t="b">
        <v>0</v>
      </c>
      <c r="BI7" s="5" t="b">
        <v>1</v>
      </c>
      <c r="BJ7" s="5" t="b">
        <v>1</v>
      </c>
      <c r="BK7" s="5">
        <v>3</v>
      </c>
      <c r="BL7" s="5">
        <v>2</v>
      </c>
      <c r="BM7" s="5" t="s">
        <v>95</v>
      </c>
      <c r="BN7" s="5" t="s">
        <v>294</v>
      </c>
      <c r="BO7" s="5">
        <v>2</v>
      </c>
      <c r="BP7" s="5" t="s">
        <v>101</v>
      </c>
      <c r="BQ7" s="5" t="s">
        <v>295</v>
      </c>
      <c r="BR7" s="5">
        <v>2</v>
      </c>
      <c r="BS7" s="5" t="s">
        <v>105</v>
      </c>
      <c r="BT7" s="5">
        <v>2</v>
      </c>
      <c r="BU7" s="5" t="s">
        <v>111</v>
      </c>
      <c r="BV7" s="5">
        <v>2</v>
      </c>
      <c r="BW7" s="5" t="s">
        <v>116</v>
      </c>
      <c r="BX7" s="5">
        <v>2</v>
      </c>
      <c r="BY7" s="5" t="s">
        <v>122</v>
      </c>
      <c r="BZ7" s="5" t="b">
        <v>1</v>
      </c>
      <c r="CA7" s="5" t="b">
        <v>1</v>
      </c>
      <c r="CB7" s="5" t="b">
        <v>1</v>
      </c>
      <c r="CC7" s="5" t="b">
        <v>1</v>
      </c>
      <c r="CD7" s="5" t="b">
        <v>1</v>
      </c>
      <c r="CE7" s="5">
        <v>5</v>
      </c>
      <c r="CF7" s="5">
        <v>6</v>
      </c>
      <c r="CG7" s="5">
        <v>9</v>
      </c>
      <c r="CH7" s="5" t="s">
        <v>296</v>
      </c>
      <c r="CI7" s="5" t="s">
        <v>297</v>
      </c>
      <c r="CJ7" s="5" t="b">
        <v>1</v>
      </c>
      <c r="CK7" s="5" t="b">
        <v>0</v>
      </c>
      <c r="CL7" s="5" t="b">
        <v>0</v>
      </c>
      <c r="CM7" s="5" t="b">
        <v>1</v>
      </c>
      <c r="CN7" s="5" t="b">
        <v>0</v>
      </c>
      <c r="CO7" s="5" t="b">
        <v>0</v>
      </c>
      <c r="CP7" s="5" t="b">
        <v>0</v>
      </c>
      <c r="CQ7" s="5" t="b">
        <v>0</v>
      </c>
      <c r="CR7" s="5" t="b">
        <v>0</v>
      </c>
      <c r="CS7" s="5" t="b">
        <v>0</v>
      </c>
      <c r="CT7" s="5" t="b">
        <v>0</v>
      </c>
      <c r="CU7" s="5" t="b">
        <v>0</v>
      </c>
      <c r="CV7" s="5" t="b">
        <v>0</v>
      </c>
      <c r="CW7" s="5" t="b">
        <v>1</v>
      </c>
      <c r="CX7" s="5" t="b">
        <v>0</v>
      </c>
      <c r="CY7" s="5" t="b">
        <v>0</v>
      </c>
      <c r="CZ7" s="5" t="b">
        <v>0</v>
      </c>
      <c r="DA7" s="5" t="b">
        <v>0</v>
      </c>
      <c r="DB7" s="5" t="b">
        <v>0</v>
      </c>
      <c r="DC7" s="5" t="b">
        <v>0</v>
      </c>
      <c r="DD7" s="5" t="b">
        <v>0</v>
      </c>
      <c r="DE7" s="5" t="b">
        <v>0</v>
      </c>
      <c r="DF7" s="5" t="b">
        <v>0</v>
      </c>
      <c r="DG7" s="5" t="b">
        <v>0</v>
      </c>
      <c r="DH7" s="5" t="b">
        <v>0</v>
      </c>
      <c r="DI7" s="5" t="b">
        <v>0</v>
      </c>
      <c r="DJ7" s="5" t="b">
        <v>1</v>
      </c>
      <c r="DK7" s="5" t="s">
        <v>298</v>
      </c>
      <c r="DL7" s="5">
        <v>2</v>
      </c>
      <c r="DM7" s="5" t="s">
        <v>30</v>
      </c>
      <c r="DN7" s="5">
        <v>3</v>
      </c>
      <c r="DO7" s="5" t="s">
        <v>63</v>
      </c>
      <c r="DP7" s="5">
        <v>2</v>
      </c>
      <c r="DQ7" s="5" t="s">
        <v>63</v>
      </c>
      <c r="DR7" s="5">
        <v>4</v>
      </c>
      <c r="DS7" s="5" t="s">
        <v>77</v>
      </c>
      <c r="DT7" s="5">
        <v>7</v>
      </c>
      <c r="DU7" s="5" t="s">
        <v>66</v>
      </c>
      <c r="DV7" s="5">
        <v>8</v>
      </c>
      <c r="DW7" s="5" t="s">
        <v>81</v>
      </c>
      <c r="DX7" s="5">
        <v>2</v>
      </c>
      <c r="DY7" s="5" t="s">
        <v>84</v>
      </c>
      <c r="DZ7" s="5">
        <v>3</v>
      </c>
      <c r="EA7" s="5" t="s">
        <v>90</v>
      </c>
      <c r="EB7" s="5">
        <v>3</v>
      </c>
      <c r="EC7" s="5" t="s">
        <v>93</v>
      </c>
      <c r="ED7" s="5" t="b">
        <v>1</v>
      </c>
      <c r="EE7" s="5" t="b">
        <v>0</v>
      </c>
      <c r="EF7" s="5" t="b">
        <v>0</v>
      </c>
      <c r="EG7" s="5" t="b">
        <v>1</v>
      </c>
      <c r="EH7" s="5">
        <v>2</v>
      </c>
      <c r="EI7" s="5">
        <v>3</v>
      </c>
      <c r="EJ7" s="5" t="s">
        <v>139</v>
      </c>
    </row>
    <row r="8" spans="1:142" x14ac:dyDescent="0.25">
      <c r="A8" s="5">
        <v>7</v>
      </c>
      <c r="B8" s="11">
        <v>45032</v>
      </c>
      <c r="C8" s="12">
        <v>0.54513888888888895</v>
      </c>
      <c r="D8" s="12" t="str">
        <f t="shared" si="0"/>
        <v>7   04/16/2023   13:05</v>
      </c>
      <c r="E8" s="5">
        <v>2</v>
      </c>
      <c r="F8" s="5" t="s">
        <v>1</v>
      </c>
      <c r="G8" s="5">
        <v>50</v>
      </c>
      <c r="H8" s="5">
        <v>2</v>
      </c>
      <c r="I8" s="5" t="s">
        <v>2</v>
      </c>
      <c r="J8" s="5">
        <v>6</v>
      </c>
      <c r="K8" s="5" t="s">
        <v>15</v>
      </c>
      <c r="L8" s="5" t="b">
        <v>1</v>
      </c>
      <c r="M8" s="5" t="b">
        <v>0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1</v>
      </c>
      <c r="T8" s="5" t="b">
        <v>0</v>
      </c>
      <c r="U8" s="5" t="b">
        <v>0</v>
      </c>
      <c r="V8" s="5" t="b">
        <v>0</v>
      </c>
      <c r="W8" s="5" t="b">
        <v>0</v>
      </c>
      <c r="X8" s="5" t="b">
        <v>0</v>
      </c>
      <c r="Y8" s="5" t="b">
        <v>0</v>
      </c>
      <c r="Z8" s="5" t="b">
        <v>1</v>
      </c>
      <c r="AA8" s="5" t="b">
        <v>0</v>
      </c>
      <c r="AB8" s="5" t="b">
        <v>0</v>
      </c>
      <c r="AC8" s="5" t="b">
        <v>0</v>
      </c>
      <c r="AD8" s="5" t="b">
        <v>0</v>
      </c>
      <c r="AE8" s="5" t="b">
        <v>0</v>
      </c>
      <c r="AF8" s="5" t="b">
        <v>0</v>
      </c>
      <c r="AG8" s="5" t="b">
        <v>0</v>
      </c>
      <c r="AH8" s="5" t="b">
        <v>0</v>
      </c>
      <c r="AI8" s="5" t="b">
        <v>0</v>
      </c>
      <c r="AJ8" s="5" t="b">
        <v>1</v>
      </c>
      <c r="AK8" s="5" t="b">
        <v>0</v>
      </c>
      <c r="AL8" s="5" t="b">
        <v>1</v>
      </c>
      <c r="AM8" s="5">
        <v>2</v>
      </c>
      <c r="AN8" s="5" t="s">
        <v>30</v>
      </c>
      <c r="AO8" s="5" t="s">
        <v>292</v>
      </c>
      <c r="AP8" s="5" t="s">
        <v>293</v>
      </c>
      <c r="AQ8" s="5">
        <v>2</v>
      </c>
      <c r="AR8" s="5" t="s">
        <v>130</v>
      </c>
      <c r="AS8" s="5">
        <v>2</v>
      </c>
      <c r="AT8" s="5" t="s">
        <v>63</v>
      </c>
      <c r="AU8" s="5">
        <v>5</v>
      </c>
      <c r="AV8" s="5" t="s">
        <v>70</v>
      </c>
      <c r="AW8" s="5">
        <v>2</v>
      </c>
      <c r="AX8" s="5" t="s">
        <v>72</v>
      </c>
      <c r="AY8" s="5">
        <v>12</v>
      </c>
      <c r="AZ8" s="5" t="s">
        <v>80</v>
      </c>
      <c r="BA8" s="5">
        <v>2</v>
      </c>
      <c r="BB8" s="5" t="s">
        <v>84</v>
      </c>
      <c r="BC8" s="5">
        <v>3</v>
      </c>
      <c r="BD8" s="5" t="s">
        <v>90</v>
      </c>
      <c r="BE8" s="5">
        <v>2</v>
      </c>
      <c r="BF8" s="5" t="s">
        <v>92</v>
      </c>
      <c r="BG8" s="5" t="b">
        <v>1</v>
      </c>
      <c r="BH8" s="5" t="b">
        <v>0</v>
      </c>
      <c r="BI8" s="5" t="b">
        <v>1</v>
      </c>
      <c r="BJ8" s="5" t="b">
        <v>1</v>
      </c>
      <c r="BK8" s="5">
        <v>3</v>
      </c>
      <c r="BL8" s="5">
        <v>2</v>
      </c>
      <c r="BM8" s="5" t="s">
        <v>95</v>
      </c>
      <c r="BN8" s="5" t="s">
        <v>294</v>
      </c>
      <c r="BO8" s="5">
        <v>2</v>
      </c>
      <c r="BP8" s="5" t="s">
        <v>101</v>
      </c>
      <c r="BQ8" s="5" t="s">
        <v>295</v>
      </c>
      <c r="BR8" s="5">
        <v>2</v>
      </c>
      <c r="BS8" s="5" t="s">
        <v>105</v>
      </c>
      <c r="BT8" s="5">
        <v>2</v>
      </c>
      <c r="BU8" s="5" t="s">
        <v>111</v>
      </c>
      <c r="BV8" s="5">
        <v>2</v>
      </c>
      <c r="BW8" s="5" t="s">
        <v>116</v>
      </c>
      <c r="BX8" s="5">
        <v>2</v>
      </c>
      <c r="BY8" s="5" t="s">
        <v>122</v>
      </c>
      <c r="BZ8" s="5" t="b">
        <v>1</v>
      </c>
      <c r="CA8" s="5" t="b">
        <v>1</v>
      </c>
      <c r="CB8" s="5" t="b">
        <v>1</v>
      </c>
      <c r="CC8" s="5" t="b">
        <v>1</v>
      </c>
      <c r="CD8" s="5" t="b">
        <v>1</v>
      </c>
      <c r="CE8" s="5">
        <v>5</v>
      </c>
      <c r="CF8" s="5">
        <v>6</v>
      </c>
      <c r="CG8" s="5">
        <v>9</v>
      </c>
      <c r="CH8" s="5" t="s">
        <v>296</v>
      </c>
      <c r="CI8" s="5" t="s">
        <v>297</v>
      </c>
      <c r="CJ8" s="5" t="b">
        <v>1</v>
      </c>
      <c r="CK8" s="5" t="b">
        <v>0</v>
      </c>
      <c r="CL8" s="5" t="b">
        <v>0</v>
      </c>
      <c r="CM8" s="5" t="b">
        <v>1</v>
      </c>
      <c r="CN8" s="5" t="b">
        <v>0</v>
      </c>
      <c r="CO8" s="5" t="b">
        <v>0</v>
      </c>
      <c r="CP8" s="5" t="b">
        <v>0</v>
      </c>
      <c r="CQ8" s="5" t="b">
        <v>0</v>
      </c>
      <c r="CR8" s="5" t="b">
        <v>0</v>
      </c>
      <c r="CS8" s="5" t="b">
        <v>0</v>
      </c>
      <c r="CT8" s="5" t="b">
        <v>0</v>
      </c>
      <c r="CU8" s="5" t="b">
        <v>0</v>
      </c>
      <c r="CV8" s="5" t="b">
        <v>0</v>
      </c>
      <c r="CW8" s="5" t="b">
        <v>1</v>
      </c>
      <c r="CX8" s="5" t="b">
        <v>0</v>
      </c>
      <c r="CY8" s="5" t="b">
        <v>0</v>
      </c>
      <c r="CZ8" s="5" t="b">
        <v>0</v>
      </c>
      <c r="DA8" s="5" t="b">
        <v>0</v>
      </c>
      <c r="DB8" s="5" t="b">
        <v>0</v>
      </c>
      <c r="DC8" s="5" t="b">
        <v>0</v>
      </c>
      <c r="DD8" s="5" t="b">
        <v>0</v>
      </c>
      <c r="DE8" s="5" t="b">
        <v>0</v>
      </c>
      <c r="DF8" s="5" t="b">
        <v>0</v>
      </c>
      <c r="DG8" s="5" t="b">
        <v>0</v>
      </c>
      <c r="DH8" s="5" t="b">
        <v>0</v>
      </c>
      <c r="DI8" s="5" t="b">
        <v>0</v>
      </c>
      <c r="DJ8" s="5" t="b">
        <v>1</v>
      </c>
      <c r="DK8" s="5" t="s">
        <v>298</v>
      </c>
      <c r="DL8" s="5">
        <v>2</v>
      </c>
      <c r="DM8" s="5" t="s">
        <v>30</v>
      </c>
      <c r="DN8" s="5">
        <v>3</v>
      </c>
      <c r="DO8" s="5" t="s">
        <v>63</v>
      </c>
      <c r="DP8" s="5">
        <v>2</v>
      </c>
      <c r="DQ8" s="5" t="s">
        <v>63</v>
      </c>
      <c r="DR8" s="5">
        <v>4</v>
      </c>
      <c r="DS8" s="5" t="s">
        <v>77</v>
      </c>
      <c r="DT8" s="5">
        <v>7</v>
      </c>
      <c r="DU8" s="5" t="s">
        <v>66</v>
      </c>
      <c r="DV8" s="5">
        <v>8</v>
      </c>
      <c r="DW8" s="5" t="s">
        <v>81</v>
      </c>
      <c r="DX8" s="5">
        <v>2</v>
      </c>
      <c r="DY8" s="5" t="s">
        <v>84</v>
      </c>
      <c r="DZ8" s="5">
        <v>3</v>
      </c>
      <c r="EA8" s="5" t="s">
        <v>90</v>
      </c>
      <c r="EB8" s="5">
        <v>3</v>
      </c>
      <c r="EC8" s="5" t="s">
        <v>93</v>
      </c>
      <c r="ED8" s="5" t="b">
        <v>1</v>
      </c>
      <c r="EE8" s="5" t="b">
        <v>0</v>
      </c>
      <c r="EF8" s="5" t="b">
        <v>0</v>
      </c>
      <c r="EG8" s="5" t="b">
        <v>1</v>
      </c>
      <c r="EH8" s="5">
        <v>2</v>
      </c>
      <c r="EI8" s="5">
        <v>3</v>
      </c>
      <c r="EJ8" s="5" t="s">
        <v>139</v>
      </c>
    </row>
    <row r="9" spans="1:142" x14ac:dyDescent="0.25">
      <c r="A9" s="5">
        <v>8</v>
      </c>
      <c r="B9" s="11">
        <v>45032</v>
      </c>
      <c r="C9" s="12">
        <v>0.54513888888888895</v>
      </c>
      <c r="D9" s="12" t="str">
        <f t="shared" si="0"/>
        <v>8   04/16/2023   13:05</v>
      </c>
      <c r="E9" s="5">
        <v>2</v>
      </c>
      <c r="F9" s="5" t="s">
        <v>1</v>
      </c>
      <c r="G9" s="5">
        <v>50</v>
      </c>
      <c r="H9" s="5">
        <v>2</v>
      </c>
      <c r="I9" s="5" t="s">
        <v>2</v>
      </c>
      <c r="J9" s="5">
        <v>6</v>
      </c>
      <c r="K9" s="5" t="s">
        <v>15</v>
      </c>
      <c r="L9" s="5" t="b">
        <v>1</v>
      </c>
      <c r="M9" s="5" t="b">
        <v>0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1</v>
      </c>
      <c r="T9" s="5" t="b">
        <v>0</v>
      </c>
      <c r="U9" s="5" t="b">
        <v>0</v>
      </c>
      <c r="V9" s="5" t="b">
        <v>0</v>
      </c>
      <c r="W9" s="5" t="b">
        <v>0</v>
      </c>
      <c r="X9" s="5" t="b">
        <v>0</v>
      </c>
      <c r="Y9" s="5" t="b">
        <v>0</v>
      </c>
      <c r="Z9" s="5" t="b">
        <v>1</v>
      </c>
      <c r="AA9" s="5" t="b">
        <v>0</v>
      </c>
      <c r="AB9" s="5" t="b">
        <v>0</v>
      </c>
      <c r="AC9" s="5" t="b">
        <v>0</v>
      </c>
      <c r="AD9" s="5" t="b">
        <v>0</v>
      </c>
      <c r="AE9" s="5" t="b">
        <v>0</v>
      </c>
      <c r="AF9" s="5" t="b">
        <v>0</v>
      </c>
      <c r="AG9" s="5" t="b">
        <v>0</v>
      </c>
      <c r="AH9" s="5" t="b">
        <v>0</v>
      </c>
      <c r="AI9" s="5" t="b">
        <v>0</v>
      </c>
      <c r="AJ9" s="5" t="b">
        <v>1</v>
      </c>
      <c r="AK9" s="5" t="b">
        <v>0</v>
      </c>
      <c r="AL9" s="5" t="b">
        <v>1</v>
      </c>
      <c r="AM9" s="5">
        <v>2</v>
      </c>
      <c r="AN9" s="5" t="s">
        <v>30</v>
      </c>
      <c r="AO9" s="5" t="s">
        <v>292</v>
      </c>
      <c r="AP9" s="5" t="s">
        <v>293</v>
      </c>
      <c r="AQ9" s="5">
        <v>2</v>
      </c>
      <c r="AR9" s="5" t="s">
        <v>130</v>
      </c>
      <c r="AS9" s="5">
        <v>2</v>
      </c>
      <c r="AT9" s="5" t="s">
        <v>63</v>
      </c>
      <c r="AU9" s="5">
        <v>5</v>
      </c>
      <c r="AV9" s="5" t="s">
        <v>70</v>
      </c>
      <c r="AW9" s="5">
        <v>2</v>
      </c>
      <c r="AX9" s="5" t="s">
        <v>72</v>
      </c>
      <c r="AY9" s="5">
        <v>12</v>
      </c>
      <c r="AZ9" s="5" t="s">
        <v>80</v>
      </c>
      <c r="BA9" s="5">
        <v>2</v>
      </c>
      <c r="BB9" s="5" t="s">
        <v>84</v>
      </c>
      <c r="BC9" s="5">
        <v>3</v>
      </c>
      <c r="BD9" s="5" t="s">
        <v>90</v>
      </c>
      <c r="BE9" s="5">
        <v>2</v>
      </c>
      <c r="BF9" s="5" t="s">
        <v>92</v>
      </c>
      <c r="BG9" s="5" t="b">
        <v>1</v>
      </c>
      <c r="BH9" s="5" t="b">
        <v>0</v>
      </c>
      <c r="BI9" s="5" t="b">
        <v>1</v>
      </c>
      <c r="BJ9" s="5" t="b">
        <v>1</v>
      </c>
      <c r="BK9" s="5">
        <v>3</v>
      </c>
      <c r="BL9" s="5">
        <v>2</v>
      </c>
      <c r="BM9" s="5" t="s">
        <v>95</v>
      </c>
      <c r="BN9" s="5" t="s">
        <v>294</v>
      </c>
      <c r="BO9" s="5">
        <v>2</v>
      </c>
      <c r="BP9" s="5" t="s">
        <v>101</v>
      </c>
      <c r="BQ9" s="5" t="s">
        <v>295</v>
      </c>
      <c r="BR9" s="5">
        <v>2</v>
      </c>
      <c r="BS9" s="5" t="s">
        <v>105</v>
      </c>
      <c r="BT9" s="5">
        <v>2</v>
      </c>
      <c r="BU9" s="5" t="s">
        <v>111</v>
      </c>
      <c r="BV9" s="5">
        <v>2</v>
      </c>
      <c r="BW9" s="5" t="s">
        <v>116</v>
      </c>
      <c r="BX9" s="5">
        <v>2</v>
      </c>
      <c r="BY9" s="5" t="s">
        <v>122</v>
      </c>
      <c r="BZ9" s="5" t="b">
        <v>1</v>
      </c>
      <c r="CA9" s="5" t="b">
        <v>1</v>
      </c>
      <c r="CB9" s="5" t="b">
        <v>1</v>
      </c>
      <c r="CC9" s="5" t="b">
        <v>1</v>
      </c>
      <c r="CD9" s="5" t="b">
        <v>1</v>
      </c>
      <c r="CE9" s="5">
        <v>5</v>
      </c>
      <c r="CF9" s="5">
        <v>6</v>
      </c>
      <c r="CG9" s="5">
        <v>9</v>
      </c>
      <c r="CH9" s="5" t="s">
        <v>296</v>
      </c>
      <c r="CI9" s="5" t="s">
        <v>297</v>
      </c>
      <c r="CJ9" s="5" t="b">
        <v>1</v>
      </c>
      <c r="CK9" s="5" t="b">
        <v>0</v>
      </c>
      <c r="CL9" s="5" t="b">
        <v>0</v>
      </c>
      <c r="CM9" s="5" t="b">
        <v>1</v>
      </c>
      <c r="CN9" s="5" t="b">
        <v>0</v>
      </c>
      <c r="CO9" s="5" t="b">
        <v>0</v>
      </c>
      <c r="CP9" s="5" t="b">
        <v>0</v>
      </c>
      <c r="CQ9" s="5" t="b">
        <v>0</v>
      </c>
      <c r="CR9" s="5" t="b">
        <v>0</v>
      </c>
      <c r="CS9" s="5" t="b">
        <v>0</v>
      </c>
      <c r="CT9" s="5" t="b">
        <v>0</v>
      </c>
      <c r="CU9" s="5" t="b">
        <v>0</v>
      </c>
      <c r="CV9" s="5" t="b">
        <v>0</v>
      </c>
      <c r="CW9" s="5" t="b">
        <v>1</v>
      </c>
      <c r="CX9" s="5" t="b">
        <v>0</v>
      </c>
      <c r="CY9" s="5" t="b">
        <v>0</v>
      </c>
      <c r="CZ9" s="5" t="b">
        <v>0</v>
      </c>
      <c r="DA9" s="5" t="b">
        <v>0</v>
      </c>
      <c r="DB9" s="5" t="b">
        <v>0</v>
      </c>
      <c r="DC9" s="5" t="b">
        <v>0</v>
      </c>
      <c r="DD9" s="5" t="b">
        <v>0</v>
      </c>
      <c r="DE9" s="5" t="b">
        <v>0</v>
      </c>
      <c r="DF9" s="5" t="b">
        <v>0</v>
      </c>
      <c r="DG9" s="5" t="b">
        <v>0</v>
      </c>
      <c r="DH9" s="5" t="b">
        <v>0</v>
      </c>
      <c r="DI9" s="5" t="b">
        <v>0</v>
      </c>
      <c r="DJ9" s="5" t="b">
        <v>1</v>
      </c>
      <c r="DK9" s="5" t="s">
        <v>298</v>
      </c>
      <c r="DL9" s="5">
        <v>2</v>
      </c>
      <c r="DM9" s="5" t="s">
        <v>30</v>
      </c>
      <c r="DN9" s="5">
        <v>3</v>
      </c>
      <c r="DO9" s="5" t="s">
        <v>63</v>
      </c>
      <c r="DP9" s="5">
        <v>2</v>
      </c>
      <c r="DQ9" s="5" t="s">
        <v>63</v>
      </c>
      <c r="DR9" s="5">
        <v>4</v>
      </c>
      <c r="DS9" s="5" t="s">
        <v>77</v>
      </c>
      <c r="DT9" s="5">
        <v>7</v>
      </c>
      <c r="DU9" s="5" t="s">
        <v>66</v>
      </c>
      <c r="DV9" s="5">
        <v>8</v>
      </c>
      <c r="DW9" s="5" t="s">
        <v>81</v>
      </c>
      <c r="DX9" s="5">
        <v>2</v>
      </c>
      <c r="DY9" s="5" t="s">
        <v>84</v>
      </c>
      <c r="DZ9" s="5">
        <v>3</v>
      </c>
      <c r="EA9" s="5" t="s">
        <v>90</v>
      </c>
      <c r="EB9" s="5">
        <v>3</v>
      </c>
      <c r="EC9" s="5" t="s">
        <v>93</v>
      </c>
      <c r="ED9" s="5" t="b">
        <v>1</v>
      </c>
      <c r="EE9" s="5" t="b">
        <v>0</v>
      </c>
      <c r="EF9" s="5" t="b">
        <v>0</v>
      </c>
      <c r="EG9" s="5" t="b">
        <v>1</v>
      </c>
      <c r="EH9" s="5">
        <v>2</v>
      </c>
      <c r="EI9" s="5">
        <v>3</v>
      </c>
      <c r="EJ9" s="5" t="s">
        <v>139</v>
      </c>
    </row>
    <row r="10" spans="1:142" x14ac:dyDescent="0.25">
      <c r="A10" s="5">
        <v>9</v>
      </c>
      <c r="B10" s="11">
        <v>45032</v>
      </c>
      <c r="C10" s="12">
        <v>0.54513888888888895</v>
      </c>
      <c r="D10" s="12" t="str">
        <f t="shared" si="0"/>
        <v>9   04/16/2023   13:05</v>
      </c>
      <c r="E10" s="5">
        <v>2</v>
      </c>
      <c r="F10" s="5" t="s">
        <v>1</v>
      </c>
      <c r="G10" s="5">
        <v>50</v>
      </c>
      <c r="H10" s="5">
        <v>2</v>
      </c>
      <c r="I10" s="5" t="s">
        <v>2</v>
      </c>
      <c r="J10" s="5">
        <v>6</v>
      </c>
      <c r="K10" s="5" t="s">
        <v>15</v>
      </c>
      <c r="L10" s="5" t="b">
        <v>1</v>
      </c>
      <c r="M10" s="5" t="b">
        <v>0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1</v>
      </c>
      <c r="T10" s="5" t="b">
        <v>0</v>
      </c>
      <c r="U10" s="5" t="b">
        <v>0</v>
      </c>
      <c r="V10" s="5" t="b">
        <v>0</v>
      </c>
      <c r="W10" s="5" t="b">
        <v>0</v>
      </c>
      <c r="X10" s="5" t="b">
        <v>0</v>
      </c>
      <c r="Y10" s="5" t="b">
        <v>0</v>
      </c>
      <c r="Z10" s="5" t="b">
        <v>1</v>
      </c>
      <c r="AA10" s="5" t="b">
        <v>0</v>
      </c>
      <c r="AB10" s="5" t="b">
        <v>0</v>
      </c>
      <c r="AC10" s="5" t="b">
        <v>0</v>
      </c>
      <c r="AD10" s="5" t="b">
        <v>0</v>
      </c>
      <c r="AE10" s="5" t="b">
        <v>0</v>
      </c>
      <c r="AF10" s="5" t="b">
        <v>0</v>
      </c>
      <c r="AG10" s="5" t="b">
        <v>0</v>
      </c>
      <c r="AH10" s="5" t="b">
        <v>0</v>
      </c>
      <c r="AI10" s="5" t="b">
        <v>0</v>
      </c>
      <c r="AJ10" s="5" t="b">
        <v>1</v>
      </c>
      <c r="AK10" s="5" t="b">
        <v>0</v>
      </c>
      <c r="AL10" s="5" t="b">
        <v>1</v>
      </c>
      <c r="AM10" s="5">
        <v>2</v>
      </c>
      <c r="AN10" s="5" t="s">
        <v>30</v>
      </c>
      <c r="AO10" s="5" t="s">
        <v>292</v>
      </c>
      <c r="AP10" s="5" t="s">
        <v>293</v>
      </c>
      <c r="AQ10" s="5">
        <v>2</v>
      </c>
      <c r="AR10" s="5" t="s">
        <v>130</v>
      </c>
      <c r="AS10" s="5">
        <v>2</v>
      </c>
      <c r="AT10" s="5" t="s">
        <v>63</v>
      </c>
      <c r="AU10" s="5">
        <v>5</v>
      </c>
      <c r="AV10" s="5" t="s">
        <v>70</v>
      </c>
      <c r="AW10" s="5">
        <v>2</v>
      </c>
      <c r="AX10" s="5" t="s">
        <v>72</v>
      </c>
      <c r="AY10" s="5">
        <v>12</v>
      </c>
      <c r="AZ10" s="5" t="s">
        <v>80</v>
      </c>
      <c r="BA10" s="5">
        <v>2</v>
      </c>
      <c r="BB10" s="5" t="s">
        <v>84</v>
      </c>
      <c r="BC10" s="5">
        <v>3</v>
      </c>
      <c r="BD10" s="5" t="s">
        <v>90</v>
      </c>
      <c r="BE10" s="5">
        <v>2</v>
      </c>
      <c r="BF10" s="5" t="s">
        <v>92</v>
      </c>
      <c r="BG10" s="5" t="b">
        <v>1</v>
      </c>
      <c r="BH10" s="5" t="b">
        <v>0</v>
      </c>
      <c r="BI10" s="5" t="b">
        <v>1</v>
      </c>
      <c r="BJ10" s="5" t="b">
        <v>1</v>
      </c>
      <c r="BK10" s="5">
        <v>3</v>
      </c>
      <c r="BL10" s="5">
        <v>2</v>
      </c>
      <c r="BM10" s="5" t="s">
        <v>95</v>
      </c>
      <c r="BN10" s="5" t="s">
        <v>294</v>
      </c>
      <c r="BO10" s="5">
        <v>2</v>
      </c>
      <c r="BP10" s="5" t="s">
        <v>101</v>
      </c>
      <c r="BQ10" s="5" t="s">
        <v>295</v>
      </c>
      <c r="BR10" s="5">
        <v>2</v>
      </c>
      <c r="BS10" s="5" t="s">
        <v>105</v>
      </c>
      <c r="BT10" s="5">
        <v>2</v>
      </c>
      <c r="BU10" s="5" t="s">
        <v>111</v>
      </c>
      <c r="BV10" s="5">
        <v>2</v>
      </c>
      <c r="BW10" s="5" t="s">
        <v>116</v>
      </c>
      <c r="BX10" s="5">
        <v>2</v>
      </c>
      <c r="BY10" s="5" t="s">
        <v>122</v>
      </c>
      <c r="BZ10" s="5" t="b">
        <v>1</v>
      </c>
      <c r="CA10" s="5" t="b">
        <v>1</v>
      </c>
      <c r="CB10" s="5" t="b">
        <v>1</v>
      </c>
      <c r="CC10" s="5" t="b">
        <v>1</v>
      </c>
      <c r="CD10" s="5" t="b">
        <v>1</v>
      </c>
      <c r="CE10" s="5">
        <v>5</v>
      </c>
      <c r="CF10" s="5">
        <v>6</v>
      </c>
      <c r="CG10" s="5">
        <v>9</v>
      </c>
      <c r="CH10" s="5" t="s">
        <v>296</v>
      </c>
      <c r="CI10" s="5" t="s">
        <v>297</v>
      </c>
      <c r="CJ10" s="5" t="b">
        <v>1</v>
      </c>
      <c r="CK10" s="5" t="b">
        <v>0</v>
      </c>
      <c r="CL10" s="5" t="b">
        <v>0</v>
      </c>
      <c r="CM10" s="5" t="b">
        <v>1</v>
      </c>
      <c r="CN10" s="5" t="b">
        <v>0</v>
      </c>
      <c r="CO10" s="5" t="b">
        <v>0</v>
      </c>
      <c r="CP10" s="5" t="b">
        <v>0</v>
      </c>
      <c r="CQ10" s="5" t="b">
        <v>0</v>
      </c>
      <c r="CR10" s="5" t="b">
        <v>0</v>
      </c>
      <c r="CS10" s="5" t="b">
        <v>0</v>
      </c>
      <c r="CT10" s="5" t="b">
        <v>0</v>
      </c>
      <c r="CU10" s="5" t="b">
        <v>0</v>
      </c>
      <c r="CV10" s="5" t="b">
        <v>0</v>
      </c>
      <c r="CW10" s="5" t="b">
        <v>1</v>
      </c>
      <c r="CX10" s="5" t="b">
        <v>0</v>
      </c>
      <c r="CY10" s="5" t="b">
        <v>0</v>
      </c>
      <c r="CZ10" s="5" t="b">
        <v>0</v>
      </c>
      <c r="DA10" s="5" t="b">
        <v>0</v>
      </c>
      <c r="DB10" s="5" t="b">
        <v>0</v>
      </c>
      <c r="DC10" s="5" t="b">
        <v>0</v>
      </c>
      <c r="DD10" s="5" t="b">
        <v>0</v>
      </c>
      <c r="DE10" s="5" t="b">
        <v>0</v>
      </c>
      <c r="DF10" s="5" t="b">
        <v>0</v>
      </c>
      <c r="DG10" s="5" t="b">
        <v>0</v>
      </c>
      <c r="DH10" s="5" t="b">
        <v>0</v>
      </c>
      <c r="DI10" s="5" t="b">
        <v>0</v>
      </c>
      <c r="DJ10" s="5" t="b">
        <v>1</v>
      </c>
      <c r="DK10" s="5" t="s">
        <v>298</v>
      </c>
      <c r="DL10" s="5">
        <v>2</v>
      </c>
      <c r="DM10" s="5" t="s">
        <v>30</v>
      </c>
      <c r="DN10" s="5">
        <v>3</v>
      </c>
      <c r="DO10" s="5" t="s">
        <v>63</v>
      </c>
      <c r="DP10" s="5">
        <v>2</v>
      </c>
      <c r="DQ10" s="5" t="s">
        <v>63</v>
      </c>
      <c r="DR10" s="5">
        <v>4</v>
      </c>
      <c r="DS10" s="5" t="s">
        <v>77</v>
      </c>
      <c r="DT10" s="5">
        <v>7</v>
      </c>
      <c r="DU10" s="5" t="s">
        <v>66</v>
      </c>
      <c r="DV10" s="5">
        <v>8</v>
      </c>
      <c r="DW10" s="5" t="s">
        <v>81</v>
      </c>
      <c r="DX10" s="5">
        <v>2</v>
      </c>
      <c r="DY10" s="5" t="s">
        <v>84</v>
      </c>
      <c r="DZ10" s="5">
        <v>3</v>
      </c>
      <c r="EA10" s="5" t="s">
        <v>90</v>
      </c>
      <c r="EB10" s="5">
        <v>3</v>
      </c>
      <c r="EC10" s="5" t="s">
        <v>93</v>
      </c>
      <c r="ED10" s="5" t="b">
        <v>1</v>
      </c>
      <c r="EE10" s="5" t="b">
        <v>0</v>
      </c>
      <c r="EF10" s="5" t="b">
        <v>0</v>
      </c>
      <c r="EG10" s="5" t="b">
        <v>1</v>
      </c>
      <c r="EH10" s="5">
        <v>2</v>
      </c>
      <c r="EI10" s="5">
        <v>3</v>
      </c>
      <c r="EJ10" s="5" t="s">
        <v>139</v>
      </c>
    </row>
    <row r="11" spans="1:142" x14ac:dyDescent="0.25">
      <c r="A11" s="5">
        <v>10</v>
      </c>
      <c r="B11" s="11">
        <v>45032</v>
      </c>
      <c r="C11" s="12">
        <v>0.54513888888888895</v>
      </c>
      <c r="D11" s="12" t="str">
        <f t="shared" si="0"/>
        <v>10   04/16/2023   13:05</v>
      </c>
      <c r="E11" s="5">
        <v>2</v>
      </c>
      <c r="F11" s="5" t="s">
        <v>1</v>
      </c>
      <c r="G11" s="5">
        <v>50</v>
      </c>
      <c r="H11" s="5">
        <v>2</v>
      </c>
      <c r="I11" s="5" t="s">
        <v>2</v>
      </c>
      <c r="J11" s="5">
        <v>6</v>
      </c>
      <c r="K11" s="5" t="s">
        <v>15</v>
      </c>
      <c r="L11" s="5" t="b">
        <v>1</v>
      </c>
      <c r="M11" s="5" t="b">
        <v>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1</v>
      </c>
      <c r="T11" s="5" t="b">
        <v>0</v>
      </c>
      <c r="U11" s="5" t="b">
        <v>0</v>
      </c>
      <c r="V11" s="5" t="b">
        <v>0</v>
      </c>
      <c r="W11" s="5" t="b">
        <v>0</v>
      </c>
      <c r="X11" s="5" t="b">
        <v>0</v>
      </c>
      <c r="Y11" s="5" t="b">
        <v>0</v>
      </c>
      <c r="Z11" s="5" t="b">
        <v>1</v>
      </c>
      <c r="AA11" s="5" t="b">
        <v>0</v>
      </c>
      <c r="AB11" s="5" t="b">
        <v>0</v>
      </c>
      <c r="AC11" s="5" t="b">
        <v>0</v>
      </c>
      <c r="AD11" s="5" t="b">
        <v>0</v>
      </c>
      <c r="AE11" s="5" t="b">
        <v>0</v>
      </c>
      <c r="AF11" s="5" t="b">
        <v>0</v>
      </c>
      <c r="AG11" s="5" t="b">
        <v>0</v>
      </c>
      <c r="AH11" s="5" t="b">
        <v>0</v>
      </c>
      <c r="AI11" s="5" t="b">
        <v>0</v>
      </c>
      <c r="AJ11" s="5" t="b">
        <v>1</v>
      </c>
      <c r="AK11" s="5" t="b">
        <v>0</v>
      </c>
      <c r="AL11" s="5" t="b">
        <v>1</v>
      </c>
      <c r="AM11" s="5">
        <v>2</v>
      </c>
      <c r="AN11" s="5" t="s">
        <v>30</v>
      </c>
      <c r="AO11" s="5" t="s">
        <v>292</v>
      </c>
      <c r="AP11" s="5" t="s">
        <v>293</v>
      </c>
      <c r="AQ11" s="5">
        <v>2</v>
      </c>
      <c r="AR11" s="5" t="s">
        <v>130</v>
      </c>
      <c r="AS11" s="5">
        <v>2</v>
      </c>
      <c r="AT11" s="5" t="s">
        <v>63</v>
      </c>
      <c r="AU11" s="5">
        <v>5</v>
      </c>
      <c r="AV11" s="5" t="s">
        <v>70</v>
      </c>
      <c r="AW11" s="5">
        <v>2</v>
      </c>
      <c r="AX11" s="5" t="s">
        <v>72</v>
      </c>
      <c r="AY11" s="5">
        <v>12</v>
      </c>
      <c r="AZ11" s="5" t="s">
        <v>80</v>
      </c>
      <c r="BA11" s="5">
        <v>2</v>
      </c>
      <c r="BB11" s="5" t="s">
        <v>84</v>
      </c>
      <c r="BC11" s="5">
        <v>3</v>
      </c>
      <c r="BD11" s="5" t="s">
        <v>90</v>
      </c>
      <c r="BE11" s="5">
        <v>2</v>
      </c>
      <c r="BF11" s="5" t="s">
        <v>92</v>
      </c>
      <c r="BG11" s="5" t="b">
        <v>1</v>
      </c>
      <c r="BH11" s="5" t="b">
        <v>0</v>
      </c>
      <c r="BI11" s="5" t="b">
        <v>1</v>
      </c>
      <c r="BJ11" s="5" t="b">
        <v>1</v>
      </c>
      <c r="BK11" s="5">
        <v>3</v>
      </c>
      <c r="BL11" s="5">
        <v>2</v>
      </c>
      <c r="BM11" s="5" t="s">
        <v>95</v>
      </c>
      <c r="BN11" s="5" t="s">
        <v>294</v>
      </c>
      <c r="BO11" s="5">
        <v>2</v>
      </c>
      <c r="BP11" s="5" t="s">
        <v>101</v>
      </c>
      <c r="BQ11" s="5" t="s">
        <v>295</v>
      </c>
      <c r="BR11" s="5">
        <v>2</v>
      </c>
      <c r="BS11" s="5" t="s">
        <v>105</v>
      </c>
      <c r="BT11" s="5">
        <v>2</v>
      </c>
      <c r="BU11" s="5" t="s">
        <v>111</v>
      </c>
      <c r="BV11" s="5">
        <v>2</v>
      </c>
      <c r="BW11" s="5" t="s">
        <v>116</v>
      </c>
      <c r="BX11" s="5">
        <v>2</v>
      </c>
      <c r="BY11" s="5" t="s">
        <v>122</v>
      </c>
      <c r="BZ11" s="5" t="b">
        <v>1</v>
      </c>
      <c r="CA11" s="5" t="b">
        <v>1</v>
      </c>
      <c r="CB11" s="5" t="b">
        <v>1</v>
      </c>
      <c r="CC11" s="5" t="b">
        <v>1</v>
      </c>
      <c r="CD11" s="5" t="b">
        <v>1</v>
      </c>
      <c r="CE11" s="5">
        <v>5</v>
      </c>
      <c r="CF11" s="5">
        <v>6</v>
      </c>
      <c r="CG11" s="5">
        <v>9</v>
      </c>
      <c r="CH11" s="5" t="s">
        <v>296</v>
      </c>
      <c r="CI11" s="5" t="s">
        <v>297</v>
      </c>
      <c r="CJ11" s="5" t="b">
        <v>1</v>
      </c>
      <c r="CK11" s="5" t="b">
        <v>0</v>
      </c>
      <c r="CL11" s="5" t="b">
        <v>0</v>
      </c>
      <c r="CM11" s="5" t="b">
        <v>1</v>
      </c>
      <c r="CN11" s="5" t="b">
        <v>0</v>
      </c>
      <c r="CO11" s="5" t="b">
        <v>0</v>
      </c>
      <c r="CP11" s="5" t="b">
        <v>0</v>
      </c>
      <c r="CQ11" s="5" t="b">
        <v>0</v>
      </c>
      <c r="CR11" s="5" t="b">
        <v>0</v>
      </c>
      <c r="CS11" s="5" t="b">
        <v>0</v>
      </c>
      <c r="CT11" s="5" t="b">
        <v>0</v>
      </c>
      <c r="CU11" s="5" t="b">
        <v>0</v>
      </c>
      <c r="CV11" s="5" t="b">
        <v>0</v>
      </c>
      <c r="CW11" s="5" t="b">
        <v>1</v>
      </c>
      <c r="CX11" s="5" t="b">
        <v>0</v>
      </c>
      <c r="CY11" s="5" t="b">
        <v>0</v>
      </c>
      <c r="CZ11" s="5" t="b">
        <v>0</v>
      </c>
      <c r="DA11" s="5" t="b">
        <v>0</v>
      </c>
      <c r="DB11" s="5" t="b">
        <v>0</v>
      </c>
      <c r="DC11" s="5" t="b">
        <v>0</v>
      </c>
      <c r="DD11" s="5" t="b">
        <v>0</v>
      </c>
      <c r="DE11" s="5" t="b">
        <v>0</v>
      </c>
      <c r="DF11" s="5" t="b">
        <v>0</v>
      </c>
      <c r="DG11" s="5" t="b">
        <v>0</v>
      </c>
      <c r="DH11" s="5" t="b">
        <v>0</v>
      </c>
      <c r="DI11" s="5" t="b">
        <v>0</v>
      </c>
      <c r="DJ11" s="5" t="b">
        <v>1</v>
      </c>
      <c r="DK11" s="5" t="s">
        <v>298</v>
      </c>
      <c r="DL11" s="5">
        <v>2</v>
      </c>
      <c r="DM11" s="5" t="s">
        <v>30</v>
      </c>
      <c r="DN11" s="5">
        <v>3</v>
      </c>
      <c r="DO11" s="5" t="s">
        <v>63</v>
      </c>
      <c r="DP11" s="5">
        <v>2</v>
      </c>
      <c r="DQ11" s="5" t="s">
        <v>63</v>
      </c>
      <c r="DR11" s="5">
        <v>4</v>
      </c>
      <c r="DS11" s="5" t="s">
        <v>77</v>
      </c>
      <c r="DT11" s="5">
        <v>7</v>
      </c>
      <c r="DU11" s="5" t="s">
        <v>66</v>
      </c>
      <c r="DV11" s="5">
        <v>8</v>
      </c>
      <c r="DW11" s="5" t="s">
        <v>81</v>
      </c>
      <c r="DX11" s="5">
        <v>2</v>
      </c>
      <c r="DY11" s="5" t="s">
        <v>84</v>
      </c>
      <c r="DZ11" s="5">
        <v>3</v>
      </c>
      <c r="EA11" s="5" t="s">
        <v>90</v>
      </c>
      <c r="EB11" s="5">
        <v>3</v>
      </c>
      <c r="EC11" s="5" t="s">
        <v>93</v>
      </c>
      <c r="ED11" s="5" t="b">
        <v>1</v>
      </c>
      <c r="EE11" s="5" t="b">
        <v>0</v>
      </c>
      <c r="EF11" s="5" t="b">
        <v>0</v>
      </c>
      <c r="EG11" s="5" t="b">
        <v>1</v>
      </c>
      <c r="EH11" s="5">
        <v>2</v>
      </c>
      <c r="EI11" s="5">
        <v>3</v>
      </c>
      <c r="EJ11" s="5" t="s">
        <v>139</v>
      </c>
    </row>
    <row r="12" spans="1:142" x14ac:dyDescent="0.25">
      <c r="A12" s="5">
        <v>11</v>
      </c>
      <c r="B12" s="11">
        <v>45032</v>
      </c>
      <c r="C12" s="12">
        <v>0.54513888888888895</v>
      </c>
      <c r="D12" s="12" t="str">
        <f t="shared" si="0"/>
        <v>11   04/16/2023   13:05</v>
      </c>
      <c r="E12" s="5">
        <v>2</v>
      </c>
      <c r="F12" s="5" t="s">
        <v>1</v>
      </c>
      <c r="G12" s="5">
        <v>50</v>
      </c>
      <c r="H12" s="5">
        <v>2</v>
      </c>
      <c r="I12" s="5" t="s">
        <v>2</v>
      </c>
      <c r="J12" s="5">
        <v>6</v>
      </c>
      <c r="K12" s="5" t="s">
        <v>15</v>
      </c>
      <c r="L12" s="5" t="b">
        <v>1</v>
      </c>
      <c r="M12" s="5" t="b">
        <v>0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1</v>
      </c>
      <c r="T12" s="5" t="b">
        <v>0</v>
      </c>
      <c r="U12" s="5" t="b">
        <v>0</v>
      </c>
      <c r="V12" s="5" t="b">
        <v>0</v>
      </c>
      <c r="W12" s="5" t="b">
        <v>0</v>
      </c>
      <c r="X12" s="5" t="b">
        <v>0</v>
      </c>
      <c r="Y12" s="5" t="b">
        <v>0</v>
      </c>
      <c r="Z12" s="5" t="b">
        <v>1</v>
      </c>
      <c r="AA12" s="5" t="b">
        <v>0</v>
      </c>
      <c r="AB12" s="5" t="b">
        <v>0</v>
      </c>
      <c r="AC12" s="5" t="b">
        <v>0</v>
      </c>
      <c r="AD12" s="5" t="b">
        <v>0</v>
      </c>
      <c r="AE12" s="5" t="b">
        <v>0</v>
      </c>
      <c r="AF12" s="5" t="b">
        <v>0</v>
      </c>
      <c r="AG12" s="5" t="b">
        <v>0</v>
      </c>
      <c r="AH12" s="5" t="b">
        <v>0</v>
      </c>
      <c r="AI12" s="5" t="b">
        <v>0</v>
      </c>
      <c r="AJ12" s="5" t="b">
        <v>1</v>
      </c>
      <c r="AK12" s="5" t="b">
        <v>0</v>
      </c>
      <c r="AL12" s="5" t="b">
        <v>1</v>
      </c>
      <c r="AM12" s="5">
        <v>2</v>
      </c>
      <c r="AN12" s="5" t="s">
        <v>30</v>
      </c>
      <c r="AO12" s="5" t="s">
        <v>292</v>
      </c>
      <c r="AP12" s="5" t="s">
        <v>293</v>
      </c>
      <c r="AQ12" s="5">
        <v>2</v>
      </c>
      <c r="AR12" s="5" t="s">
        <v>130</v>
      </c>
      <c r="AS12" s="5">
        <v>2</v>
      </c>
      <c r="AT12" s="5" t="s">
        <v>63</v>
      </c>
      <c r="AU12" s="5">
        <v>5</v>
      </c>
      <c r="AV12" s="5" t="s">
        <v>70</v>
      </c>
      <c r="AW12" s="5">
        <v>2</v>
      </c>
      <c r="AX12" s="5" t="s">
        <v>72</v>
      </c>
      <c r="AY12" s="5">
        <v>12</v>
      </c>
      <c r="AZ12" s="5" t="s">
        <v>80</v>
      </c>
      <c r="BA12" s="5">
        <v>2</v>
      </c>
      <c r="BB12" s="5" t="s">
        <v>84</v>
      </c>
      <c r="BC12" s="5">
        <v>3</v>
      </c>
      <c r="BD12" s="5" t="s">
        <v>90</v>
      </c>
      <c r="BE12" s="5">
        <v>2</v>
      </c>
      <c r="BF12" s="5" t="s">
        <v>92</v>
      </c>
      <c r="BG12" s="5" t="b">
        <v>1</v>
      </c>
      <c r="BH12" s="5" t="b">
        <v>0</v>
      </c>
      <c r="BI12" s="5" t="b">
        <v>1</v>
      </c>
      <c r="BJ12" s="5" t="b">
        <v>1</v>
      </c>
      <c r="BK12" s="5">
        <v>3</v>
      </c>
      <c r="BL12" s="5">
        <v>2</v>
      </c>
      <c r="BM12" s="5" t="s">
        <v>95</v>
      </c>
      <c r="BN12" s="5" t="s">
        <v>294</v>
      </c>
      <c r="BO12" s="5">
        <v>2</v>
      </c>
      <c r="BP12" s="5" t="s">
        <v>101</v>
      </c>
      <c r="BQ12" s="5" t="s">
        <v>295</v>
      </c>
      <c r="BR12" s="5">
        <v>2</v>
      </c>
      <c r="BS12" s="5" t="s">
        <v>105</v>
      </c>
      <c r="BT12" s="5">
        <v>2</v>
      </c>
      <c r="BU12" s="5" t="s">
        <v>111</v>
      </c>
      <c r="BV12" s="5">
        <v>2</v>
      </c>
      <c r="BW12" s="5" t="s">
        <v>116</v>
      </c>
      <c r="BX12" s="5">
        <v>2</v>
      </c>
      <c r="BY12" s="5" t="s">
        <v>122</v>
      </c>
      <c r="BZ12" s="5" t="b">
        <v>1</v>
      </c>
      <c r="CA12" s="5" t="b">
        <v>1</v>
      </c>
      <c r="CB12" s="5" t="b">
        <v>1</v>
      </c>
      <c r="CC12" s="5" t="b">
        <v>1</v>
      </c>
      <c r="CD12" s="5" t="b">
        <v>1</v>
      </c>
      <c r="CE12" s="5">
        <v>5</v>
      </c>
      <c r="CF12" s="5">
        <v>6</v>
      </c>
      <c r="CG12" s="5">
        <v>9</v>
      </c>
      <c r="CH12" s="5" t="s">
        <v>296</v>
      </c>
      <c r="CI12" s="5" t="s">
        <v>297</v>
      </c>
      <c r="CJ12" s="5" t="b">
        <v>1</v>
      </c>
      <c r="CK12" s="5" t="b">
        <v>0</v>
      </c>
      <c r="CL12" s="5" t="b">
        <v>0</v>
      </c>
      <c r="CM12" s="5" t="b">
        <v>1</v>
      </c>
      <c r="CN12" s="5" t="b">
        <v>0</v>
      </c>
      <c r="CO12" s="5" t="b">
        <v>0</v>
      </c>
      <c r="CP12" s="5" t="b">
        <v>0</v>
      </c>
      <c r="CQ12" s="5" t="b">
        <v>0</v>
      </c>
      <c r="CR12" s="5" t="b">
        <v>0</v>
      </c>
      <c r="CS12" s="5" t="b">
        <v>0</v>
      </c>
      <c r="CT12" s="5" t="b">
        <v>0</v>
      </c>
      <c r="CU12" s="5" t="b">
        <v>0</v>
      </c>
      <c r="CV12" s="5" t="b">
        <v>0</v>
      </c>
      <c r="CW12" s="5" t="b">
        <v>1</v>
      </c>
      <c r="CX12" s="5" t="b">
        <v>0</v>
      </c>
      <c r="CY12" s="5" t="b">
        <v>0</v>
      </c>
      <c r="CZ12" s="5" t="b">
        <v>0</v>
      </c>
      <c r="DA12" s="5" t="b">
        <v>0</v>
      </c>
      <c r="DB12" s="5" t="b">
        <v>0</v>
      </c>
      <c r="DC12" s="5" t="b">
        <v>0</v>
      </c>
      <c r="DD12" s="5" t="b">
        <v>0</v>
      </c>
      <c r="DE12" s="5" t="b">
        <v>0</v>
      </c>
      <c r="DF12" s="5" t="b">
        <v>0</v>
      </c>
      <c r="DG12" s="5" t="b">
        <v>0</v>
      </c>
      <c r="DH12" s="5" t="b">
        <v>0</v>
      </c>
      <c r="DI12" s="5" t="b">
        <v>0</v>
      </c>
      <c r="DJ12" s="5" t="b">
        <v>1</v>
      </c>
      <c r="DK12" s="5" t="s">
        <v>298</v>
      </c>
      <c r="DL12" s="5">
        <v>2</v>
      </c>
      <c r="DM12" s="5" t="s">
        <v>30</v>
      </c>
      <c r="DN12" s="5">
        <v>3</v>
      </c>
      <c r="DO12" s="5" t="s">
        <v>63</v>
      </c>
      <c r="DP12" s="5">
        <v>2</v>
      </c>
      <c r="DQ12" s="5" t="s">
        <v>63</v>
      </c>
      <c r="DR12" s="5">
        <v>4</v>
      </c>
      <c r="DS12" s="5" t="s">
        <v>77</v>
      </c>
      <c r="DT12" s="5">
        <v>7</v>
      </c>
      <c r="DU12" s="5" t="s">
        <v>66</v>
      </c>
      <c r="DV12" s="5">
        <v>8</v>
      </c>
      <c r="DW12" s="5" t="s">
        <v>81</v>
      </c>
      <c r="DX12" s="5">
        <v>2</v>
      </c>
      <c r="DY12" s="5" t="s">
        <v>84</v>
      </c>
      <c r="DZ12" s="5">
        <v>3</v>
      </c>
      <c r="EA12" s="5" t="s">
        <v>90</v>
      </c>
      <c r="EB12" s="5">
        <v>3</v>
      </c>
      <c r="EC12" s="5" t="s">
        <v>93</v>
      </c>
      <c r="ED12" s="5" t="b">
        <v>1</v>
      </c>
      <c r="EE12" s="5" t="b">
        <v>0</v>
      </c>
      <c r="EF12" s="5" t="b">
        <v>0</v>
      </c>
      <c r="EG12" s="5" t="b">
        <v>1</v>
      </c>
      <c r="EH12" s="5">
        <v>2</v>
      </c>
      <c r="EI12" s="5">
        <v>3</v>
      </c>
      <c r="EJ12" s="5" t="s">
        <v>139</v>
      </c>
    </row>
    <row r="13" spans="1:142" x14ac:dyDescent="0.25">
      <c r="A13" s="5">
        <v>12</v>
      </c>
      <c r="B13" s="11">
        <v>45032</v>
      </c>
      <c r="C13" s="12">
        <v>0.54513888888888895</v>
      </c>
      <c r="D13" s="12" t="str">
        <f t="shared" si="0"/>
        <v>12   04/16/2023   13:05</v>
      </c>
      <c r="E13" s="5">
        <v>2</v>
      </c>
      <c r="F13" s="5" t="s">
        <v>1</v>
      </c>
      <c r="G13" s="5">
        <v>50</v>
      </c>
      <c r="H13" s="5">
        <v>2</v>
      </c>
      <c r="I13" s="5" t="s">
        <v>2</v>
      </c>
      <c r="J13" s="5">
        <v>6</v>
      </c>
      <c r="K13" s="5" t="s">
        <v>15</v>
      </c>
      <c r="L13" s="5" t="b">
        <v>1</v>
      </c>
      <c r="M13" s="5" t="b">
        <v>0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1</v>
      </c>
      <c r="T13" s="5" t="b">
        <v>0</v>
      </c>
      <c r="U13" s="5" t="b">
        <v>0</v>
      </c>
      <c r="V13" s="5" t="b">
        <v>0</v>
      </c>
      <c r="W13" s="5" t="b">
        <v>0</v>
      </c>
      <c r="X13" s="5" t="b">
        <v>0</v>
      </c>
      <c r="Y13" s="5" t="b">
        <v>0</v>
      </c>
      <c r="Z13" s="5" t="b">
        <v>1</v>
      </c>
      <c r="AA13" s="5" t="b">
        <v>0</v>
      </c>
      <c r="AB13" s="5" t="b">
        <v>0</v>
      </c>
      <c r="AC13" s="5" t="b">
        <v>0</v>
      </c>
      <c r="AD13" s="5" t="b">
        <v>0</v>
      </c>
      <c r="AE13" s="5" t="b">
        <v>0</v>
      </c>
      <c r="AF13" s="5" t="b">
        <v>0</v>
      </c>
      <c r="AG13" s="5" t="b">
        <v>0</v>
      </c>
      <c r="AH13" s="5" t="b">
        <v>0</v>
      </c>
      <c r="AI13" s="5" t="b">
        <v>0</v>
      </c>
      <c r="AJ13" s="5" t="b">
        <v>1</v>
      </c>
      <c r="AK13" s="5" t="b">
        <v>0</v>
      </c>
      <c r="AL13" s="5" t="b">
        <v>1</v>
      </c>
      <c r="AM13" s="5">
        <v>2</v>
      </c>
      <c r="AN13" s="5" t="s">
        <v>30</v>
      </c>
      <c r="AO13" s="5" t="s">
        <v>292</v>
      </c>
      <c r="AP13" s="5" t="s">
        <v>293</v>
      </c>
      <c r="AQ13" s="5">
        <v>2</v>
      </c>
      <c r="AR13" s="5" t="s">
        <v>130</v>
      </c>
      <c r="AS13" s="5">
        <v>2</v>
      </c>
      <c r="AT13" s="5" t="s">
        <v>63</v>
      </c>
      <c r="AU13" s="5">
        <v>5</v>
      </c>
      <c r="AV13" s="5" t="s">
        <v>70</v>
      </c>
      <c r="AW13" s="5">
        <v>2</v>
      </c>
      <c r="AX13" s="5" t="s">
        <v>72</v>
      </c>
      <c r="AY13" s="5">
        <v>12</v>
      </c>
      <c r="AZ13" s="5" t="s">
        <v>80</v>
      </c>
      <c r="BA13" s="5">
        <v>2</v>
      </c>
      <c r="BB13" s="5" t="s">
        <v>84</v>
      </c>
      <c r="BC13" s="5">
        <v>3</v>
      </c>
      <c r="BD13" s="5" t="s">
        <v>90</v>
      </c>
      <c r="BE13" s="5">
        <v>2</v>
      </c>
      <c r="BF13" s="5" t="s">
        <v>92</v>
      </c>
      <c r="BG13" s="5" t="b">
        <v>1</v>
      </c>
      <c r="BH13" s="5" t="b">
        <v>0</v>
      </c>
      <c r="BI13" s="5" t="b">
        <v>1</v>
      </c>
      <c r="BJ13" s="5" t="b">
        <v>1</v>
      </c>
      <c r="BK13" s="5">
        <v>3</v>
      </c>
      <c r="BL13" s="5">
        <v>2</v>
      </c>
      <c r="BM13" s="5" t="s">
        <v>95</v>
      </c>
      <c r="BN13" s="5" t="s">
        <v>294</v>
      </c>
      <c r="BO13" s="5">
        <v>2</v>
      </c>
      <c r="BP13" s="5" t="s">
        <v>101</v>
      </c>
      <c r="BQ13" s="5" t="s">
        <v>295</v>
      </c>
      <c r="BR13" s="5">
        <v>2</v>
      </c>
      <c r="BS13" s="5" t="s">
        <v>105</v>
      </c>
      <c r="BT13" s="5">
        <v>2</v>
      </c>
      <c r="BU13" s="5" t="s">
        <v>111</v>
      </c>
      <c r="BV13" s="5">
        <v>2</v>
      </c>
      <c r="BW13" s="5" t="s">
        <v>116</v>
      </c>
      <c r="BX13" s="5">
        <v>2</v>
      </c>
      <c r="BY13" s="5" t="s">
        <v>122</v>
      </c>
      <c r="BZ13" s="5" t="b">
        <v>1</v>
      </c>
      <c r="CA13" s="5" t="b">
        <v>1</v>
      </c>
      <c r="CB13" s="5" t="b">
        <v>1</v>
      </c>
      <c r="CC13" s="5" t="b">
        <v>1</v>
      </c>
      <c r="CD13" s="5" t="b">
        <v>1</v>
      </c>
      <c r="CE13" s="5">
        <v>5</v>
      </c>
      <c r="CF13" s="5">
        <v>6</v>
      </c>
      <c r="CG13" s="5">
        <v>9</v>
      </c>
      <c r="CH13" s="5" t="s">
        <v>296</v>
      </c>
      <c r="CI13" s="5" t="s">
        <v>297</v>
      </c>
      <c r="CJ13" s="5" t="b">
        <v>1</v>
      </c>
      <c r="CK13" s="5" t="b">
        <v>0</v>
      </c>
      <c r="CL13" s="5" t="b">
        <v>0</v>
      </c>
      <c r="CM13" s="5" t="b">
        <v>1</v>
      </c>
      <c r="CN13" s="5" t="b">
        <v>0</v>
      </c>
      <c r="CO13" s="5" t="b">
        <v>0</v>
      </c>
      <c r="CP13" s="5" t="b">
        <v>0</v>
      </c>
      <c r="CQ13" s="5" t="b">
        <v>0</v>
      </c>
      <c r="CR13" s="5" t="b">
        <v>0</v>
      </c>
      <c r="CS13" s="5" t="b">
        <v>0</v>
      </c>
      <c r="CT13" s="5" t="b">
        <v>0</v>
      </c>
      <c r="CU13" s="5" t="b">
        <v>0</v>
      </c>
      <c r="CV13" s="5" t="b">
        <v>0</v>
      </c>
      <c r="CW13" s="5" t="b">
        <v>1</v>
      </c>
      <c r="CX13" s="5" t="b">
        <v>0</v>
      </c>
      <c r="CY13" s="5" t="b">
        <v>0</v>
      </c>
      <c r="CZ13" s="5" t="b">
        <v>0</v>
      </c>
      <c r="DA13" s="5" t="b">
        <v>0</v>
      </c>
      <c r="DB13" s="5" t="b">
        <v>0</v>
      </c>
      <c r="DC13" s="5" t="b">
        <v>0</v>
      </c>
      <c r="DD13" s="5" t="b">
        <v>0</v>
      </c>
      <c r="DE13" s="5" t="b">
        <v>0</v>
      </c>
      <c r="DF13" s="5" t="b">
        <v>0</v>
      </c>
      <c r="DG13" s="5" t="b">
        <v>0</v>
      </c>
      <c r="DH13" s="5" t="b">
        <v>0</v>
      </c>
      <c r="DI13" s="5" t="b">
        <v>0</v>
      </c>
      <c r="DJ13" s="5" t="b">
        <v>1</v>
      </c>
      <c r="DK13" s="5" t="s">
        <v>298</v>
      </c>
      <c r="DL13" s="5">
        <v>2</v>
      </c>
      <c r="DM13" s="5" t="s">
        <v>30</v>
      </c>
      <c r="DN13" s="5">
        <v>3</v>
      </c>
      <c r="DO13" s="5" t="s">
        <v>63</v>
      </c>
      <c r="DP13" s="5">
        <v>2</v>
      </c>
      <c r="DQ13" s="5" t="s">
        <v>63</v>
      </c>
      <c r="DR13" s="5">
        <v>4</v>
      </c>
      <c r="DS13" s="5" t="s">
        <v>77</v>
      </c>
      <c r="DT13" s="5">
        <v>7</v>
      </c>
      <c r="DU13" s="5" t="s">
        <v>66</v>
      </c>
      <c r="DV13" s="5">
        <v>8</v>
      </c>
      <c r="DW13" s="5" t="s">
        <v>81</v>
      </c>
      <c r="DX13" s="5">
        <v>2</v>
      </c>
      <c r="DY13" s="5" t="s">
        <v>84</v>
      </c>
      <c r="DZ13" s="5">
        <v>3</v>
      </c>
      <c r="EA13" s="5" t="s">
        <v>90</v>
      </c>
      <c r="EB13" s="5">
        <v>3</v>
      </c>
      <c r="EC13" s="5" t="s">
        <v>93</v>
      </c>
      <c r="ED13" s="5" t="b">
        <v>1</v>
      </c>
      <c r="EE13" s="5" t="b">
        <v>0</v>
      </c>
      <c r="EF13" s="5" t="b">
        <v>0</v>
      </c>
      <c r="EG13" s="5" t="b">
        <v>1</v>
      </c>
      <c r="EH13" s="5">
        <v>2</v>
      </c>
      <c r="EI13" s="5">
        <v>3</v>
      </c>
      <c r="EJ13" s="5" t="s">
        <v>139</v>
      </c>
    </row>
    <row r="14" spans="1:142" x14ac:dyDescent="0.25">
      <c r="A14" s="5">
        <v>13</v>
      </c>
      <c r="B14" s="11">
        <v>45032</v>
      </c>
      <c r="C14" s="12">
        <v>0.54513888888888895</v>
      </c>
      <c r="D14" s="12" t="str">
        <f t="shared" si="0"/>
        <v>13   04/16/2023   13:05</v>
      </c>
      <c r="E14" s="5">
        <v>2</v>
      </c>
      <c r="F14" s="5" t="s">
        <v>1</v>
      </c>
      <c r="G14" s="5">
        <v>50</v>
      </c>
      <c r="H14" s="5">
        <v>2</v>
      </c>
      <c r="I14" s="5" t="s">
        <v>2</v>
      </c>
      <c r="J14" s="5">
        <v>6</v>
      </c>
      <c r="K14" s="5" t="s">
        <v>15</v>
      </c>
      <c r="L14" s="5" t="b">
        <v>1</v>
      </c>
      <c r="M14" s="5" t="b">
        <v>0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1</v>
      </c>
      <c r="T14" s="5" t="b">
        <v>0</v>
      </c>
      <c r="U14" s="5" t="b">
        <v>0</v>
      </c>
      <c r="V14" s="5" t="b">
        <v>0</v>
      </c>
      <c r="W14" s="5" t="b">
        <v>0</v>
      </c>
      <c r="X14" s="5" t="b">
        <v>0</v>
      </c>
      <c r="Y14" s="5" t="b">
        <v>0</v>
      </c>
      <c r="Z14" s="5" t="b">
        <v>1</v>
      </c>
      <c r="AA14" s="5" t="b">
        <v>0</v>
      </c>
      <c r="AB14" s="5" t="b">
        <v>0</v>
      </c>
      <c r="AC14" s="5" t="b">
        <v>0</v>
      </c>
      <c r="AD14" s="5" t="b">
        <v>0</v>
      </c>
      <c r="AE14" s="5" t="b">
        <v>0</v>
      </c>
      <c r="AF14" s="5" t="b">
        <v>0</v>
      </c>
      <c r="AG14" s="5" t="b">
        <v>0</v>
      </c>
      <c r="AH14" s="5" t="b">
        <v>0</v>
      </c>
      <c r="AI14" s="5" t="b">
        <v>0</v>
      </c>
      <c r="AJ14" s="5" t="b">
        <v>1</v>
      </c>
      <c r="AK14" s="5" t="b">
        <v>0</v>
      </c>
      <c r="AL14" s="5" t="b">
        <v>1</v>
      </c>
      <c r="AM14" s="5">
        <v>2</v>
      </c>
      <c r="AN14" s="5" t="s">
        <v>30</v>
      </c>
      <c r="AO14" s="5" t="s">
        <v>292</v>
      </c>
      <c r="AP14" s="5" t="s">
        <v>293</v>
      </c>
      <c r="AQ14" s="5">
        <v>2</v>
      </c>
      <c r="AR14" s="5" t="s">
        <v>130</v>
      </c>
      <c r="AS14" s="5">
        <v>2</v>
      </c>
      <c r="AT14" s="5" t="s">
        <v>63</v>
      </c>
      <c r="AU14" s="5">
        <v>5</v>
      </c>
      <c r="AV14" s="5" t="s">
        <v>70</v>
      </c>
      <c r="AW14" s="5">
        <v>2</v>
      </c>
      <c r="AX14" s="5" t="s">
        <v>72</v>
      </c>
      <c r="AY14" s="5">
        <v>12</v>
      </c>
      <c r="AZ14" s="5" t="s">
        <v>80</v>
      </c>
      <c r="BA14" s="5">
        <v>2</v>
      </c>
      <c r="BB14" s="5" t="s">
        <v>84</v>
      </c>
      <c r="BC14" s="5">
        <v>3</v>
      </c>
      <c r="BD14" s="5" t="s">
        <v>90</v>
      </c>
      <c r="BE14" s="5">
        <v>2</v>
      </c>
      <c r="BF14" s="5" t="s">
        <v>92</v>
      </c>
      <c r="BG14" s="5" t="b">
        <v>1</v>
      </c>
      <c r="BH14" s="5" t="b">
        <v>0</v>
      </c>
      <c r="BI14" s="5" t="b">
        <v>1</v>
      </c>
      <c r="BJ14" s="5" t="b">
        <v>1</v>
      </c>
      <c r="BK14" s="5">
        <v>3</v>
      </c>
      <c r="BL14" s="5">
        <v>2</v>
      </c>
      <c r="BM14" s="5" t="s">
        <v>95</v>
      </c>
      <c r="BN14" s="5" t="s">
        <v>294</v>
      </c>
      <c r="BO14" s="5">
        <v>2</v>
      </c>
      <c r="BP14" s="5" t="s">
        <v>101</v>
      </c>
      <c r="BQ14" s="5" t="s">
        <v>295</v>
      </c>
      <c r="BR14" s="5">
        <v>2</v>
      </c>
      <c r="BS14" s="5" t="s">
        <v>105</v>
      </c>
      <c r="BT14" s="5">
        <v>2</v>
      </c>
      <c r="BU14" s="5" t="s">
        <v>111</v>
      </c>
      <c r="BV14" s="5">
        <v>2</v>
      </c>
      <c r="BW14" s="5" t="s">
        <v>116</v>
      </c>
      <c r="BX14" s="5">
        <v>2</v>
      </c>
      <c r="BY14" s="5" t="s">
        <v>122</v>
      </c>
      <c r="BZ14" s="5" t="b">
        <v>1</v>
      </c>
      <c r="CA14" s="5" t="b">
        <v>1</v>
      </c>
      <c r="CB14" s="5" t="b">
        <v>1</v>
      </c>
      <c r="CC14" s="5" t="b">
        <v>1</v>
      </c>
      <c r="CD14" s="5" t="b">
        <v>1</v>
      </c>
      <c r="CE14" s="5">
        <v>5</v>
      </c>
      <c r="CF14" s="5">
        <v>6</v>
      </c>
      <c r="CG14" s="5">
        <v>9</v>
      </c>
      <c r="CH14" s="5" t="s">
        <v>296</v>
      </c>
      <c r="CI14" s="5" t="s">
        <v>297</v>
      </c>
      <c r="CJ14" s="5" t="b">
        <v>1</v>
      </c>
      <c r="CK14" s="5" t="b">
        <v>0</v>
      </c>
      <c r="CL14" s="5" t="b">
        <v>0</v>
      </c>
      <c r="CM14" s="5" t="b">
        <v>1</v>
      </c>
      <c r="CN14" s="5" t="b">
        <v>0</v>
      </c>
      <c r="CO14" s="5" t="b">
        <v>0</v>
      </c>
      <c r="CP14" s="5" t="b">
        <v>0</v>
      </c>
      <c r="CQ14" s="5" t="b">
        <v>0</v>
      </c>
      <c r="CR14" s="5" t="b">
        <v>0</v>
      </c>
      <c r="CS14" s="5" t="b">
        <v>0</v>
      </c>
      <c r="CT14" s="5" t="b">
        <v>0</v>
      </c>
      <c r="CU14" s="5" t="b">
        <v>0</v>
      </c>
      <c r="CV14" s="5" t="b">
        <v>0</v>
      </c>
      <c r="CW14" s="5" t="b">
        <v>1</v>
      </c>
      <c r="CX14" s="5" t="b">
        <v>0</v>
      </c>
      <c r="CY14" s="5" t="b">
        <v>0</v>
      </c>
      <c r="CZ14" s="5" t="b">
        <v>0</v>
      </c>
      <c r="DA14" s="5" t="b">
        <v>0</v>
      </c>
      <c r="DB14" s="5" t="b">
        <v>0</v>
      </c>
      <c r="DC14" s="5" t="b">
        <v>0</v>
      </c>
      <c r="DD14" s="5" t="b">
        <v>0</v>
      </c>
      <c r="DE14" s="5" t="b">
        <v>0</v>
      </c>
      <c r="DF14" s="5" t="b">
        <v>0</v>
      </c>
      <c r="DG14" s="5" t="b">
        <v>0</v>
      </c>
      <c r="DH14" s="5" t="b">
        <v>0</v>
      </c>
      <c r="DI14" s="5" t="b">
        <v>0</v>
      </c>
      <c r="DJ14" s="5" t="b">
        <v>1</v>
      </c>
      <c r="DK14" s="5" t="s">
        <v>298</v>
      </c>
      <c r="DL14" s="5">
        <v>2</v>
      </c>
      <c r="DM14" s="5" t="s">
        <v>30</v>
      </c>
      <c r="DN14" s="5">
        <v>3</v>
      </c>
      <c r="DO14" s="5" t="s">
        <v>63</v>
      </c>
      <c r="DP14" s="5">
        <v>2</v>
      </c>
      <c r="DQ14" s="5" t="s">
        <v>63</v>
      </c>
      <c r="DR14" s="5">
        <v>4</v>
      </c>
      <c r="DS14" s="5" t="s">
        <v>77</v>
      </c>
      <c r="DT14" s="5">
        <v>7</v>
      </c>
      <c r="DU14" s="5" t="s">
        <v>66</v>
      </c>
      <c r="DV14" s="5">
        <v>8</v>
      </c>
      <c r="DW14" s="5" t="s">
        <v>81</v>
      </c>
      <c r="DX14" s="5">
        <v>2</v>
      </c>
      <c r="DY14" s="5" t="s">
        <v>84</v>
      </c>
      <c r="DZ14" s="5">
        <v>3</v>
      </c>
      <c r="EA14" s="5" t="s">
        <v>90</v>
      </c>
      <c r="EB14" s="5">
        <v>3</v>
      </c>
      <c r="EC14" s="5" t="s">
        <v>93</v>
      </c>
      <c r="ED14" s="5" t="b">
        <v>1</v>
      </c>
      <c r="EE14" s="5" t="b">
        <v>0</v>
      </c>
      <c r="EF14" s="5" t="b">
        <v>0</v>
      </c>
      <c r="EG14" s="5" t="b">
        <v>1</v>
      </c>
      <c r="EH14" s="5">
        <v>2</v>
      </c>
      <c r="EI14" s="5">
        <v>3</v>
      </c>
      <c r="EJ14" s="5" t="s">
        <v>139</v>
      </c>
    </row>
    <row r="15" spans="1:142" x14ac:dyDescent="0.25">
      <c r="A15" s="5">
        <v>14</v>
      </c>
      <c r="B15" s="11">
        <v>45032</v>
      </c>
      <c r="C15" s="12">
        <v>0.54513888888888895</v>
      </c>
      <c r="D15" s="12" t="str">
        <f t="shared" si="0"/>
        <v>14   04/16/2023   13:05</v>
      </c>
      <c r="E15" s="5">
        <v>2</v>
      </c>
      <c r="F15" s="5" t="s">
        <v>1</v>
      </c>
      <c r="G15" s="5">
        <v>50</v>
      </c>
      <c r="H15" s="5">
        <v>2</v>
      </c>
      <c r="I15" s="5" t="s">
        <v>2</v>
      </c>
      <c r="J15" s="5">
        <v>6</v>
      </c>
      <c r="K15" s="5" t="s">
        <v>15</v>
      </c>
      <c r="L15" s="5" t="b">
        <v>1</v>
      </c>
      <c r="M15" s="5" t="b">
        <v>0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1</v>
      </c>
      <c r="T15" s="5" t="b">
        <v>0</v>
      </c>
      <c r="U15" s="5" t="b">
        <v>0</v>
      </c>
      <c r="V15" s="5" t="b">
        <v>0</v>
      </c>
      <c r="W15" s="5" t="b">
        <v>0</v>
      </c>
      <c r="X15" s="5" t="b">
        <v>0</v>
      </c>
      <c r="Y15" s="5" t="b">
        <v>0</v>
      </c>
      <c r="Z15" s="5" t="b">
        <v>1</v>
      </c>
      <c r="AA15" s="5" t="b">
        <v>0</v>
      </c>
      <c r="AB15" s="5" t="b">
        <v>0</v>
      </c>
      <c r="AC15" s="5" t="b">
        <v>0</v>
      </c>
      <c r="AD15" s="5" t="b">
        <v>0</v>
      </c>
      <c r="AE15" s="5" t="b">
        <v>0</v>
      </c>
      <c r="AF15" s="5" t="b">
        <v>0</v>
      </c>
      <c r="AG15" s="5" t="b">
        <v>0</v>
      </c>
      <c r="AH15" s="5" t="b">
        <v>0</v>
      </c>
      <c r="AI15" s="5" t="b">
        <v>0</v>
      </c>
      <c r="AJ15" s="5" t="b">
        <v>1</v>
      </c>
      <c r="AK15" s="5" t="b">
        <v>0</v>
      </c>
      <c r="AL15" s="5" t="b">
        <v>1</v>
      </c>
      <c r="AM15" s="5">
        <v>2</v>
      </c>
      <c r="AN15" s="5" t="s">
        <v>30</v>
      </c>
      <c r="AO15" s="5" t="s">
        <v>292</v>
      </c>
      <c r="AP15" s="5" t="s">
        <v>293</v>
      </c>
      <c r="AQ15" s="5">
        <v>2</v>
      </c>
      <c r="AR15" s="5" t="s">
        <v>130</v>
      </c>
      <c r="AS15" s="5">
        <v>2</v>
      </c>
      <c r="AT15" s="5" t="s">
        <v>63</v>
      </c>
      <c r="AU15" s="5">
        <v>5</v>
      </c>
      <c r="AV15" s="5" t="s">
        <v>70</v>
      </c>
      <c r="AW15" s="5">
        <v>2</v>
      </c>
      <c r="AX15" s="5" t="s">
        <v>72</v>
      </c>
      <c r="AY15" s="5">
        <v>12</v>
      </c>
      <c r="AZ15" s="5" t="s">
        <v>80</v>
      </c>
      <c r="BA15" s="5">
        <v>2</v>
      </c>
      <c r="BB15" s="5" t="s">
        <v>84</v>
      </c>
      <c r="BC15" s="5">
        <v>3</v>
      </c>
      <c r="BD15" s="5" t="s">
        <v>90</v>
      </c>
      <c r="BE15" s="5">
        <v>2</v>
      </c>
      <c r="BF15" s="5" t="s">
        <v>92</v>
      </c>
      <c r="BG15" s="5" t="b">
        <v>1</v>
      </c>
      <c r="BH15" s="5" t="b">
        <v>0</v>
      </c>
      <c r="BI15" s="5" t="b">
        <v>1</v>
      </c>
      <c r="BJ15" s="5" t="b">
        <v>1</v>
      </c>
      <c r="BK15" s="5">
        <v>3</v>
      </c>
      <c r="BL15" s="5">
        <v>2</v>
      </c>
      <c r="BM15" s="5" t="s">
        <v>95</v>
      </c>
      <c r="BN15" s="5" t="s">
        <v>294</v>
      </c>
      <c r="BO15" s="5">
        <v>2</v>
      </c>
      <c r="BP15" s="5" t="s">
        <v>101</v>
      </c>
      <c r="BQ15" s="5" t="s">
        <v>295</v>
      </c>
      <c r="BR15" s="5">
        <v>2</v>
      </c>
      <c r="BS15" s="5" t="s">
        <v>105</v>
      </c>
      <c r="BT15" s="5">
        <v>2</v>
      </c>
      <c r="BU15" s="5" t="s">
        <v>111</v>
      </c>
      <c r="BV15" s="5">
        <v>2</v>
      </c>
      <c r="BW15" s="5" t="s">
        <v>116</v>
      </c>
      <c r="BX15" s="5">
        <v>2</v>
      </c>
      <c r="BY15" s="5" t="s">
        <v>122</v>
      </c>
      <c r="BZ15" s="5" t="b">
        <v>1</v>
      </c>
      <c r="CA15" s="5" t="b">
        <v>1</v>
      </c>
      <c r="CB15" s="5" t="b">
        <v>1</v>
      </c>
      <c r="CC15" s="5" t="b">
        <v>1</v>
      </c>
      <c r="CD15" s="5" t="b">
        <v>1</v>
      </c>
      <c r="CE15" s="5">
        <v>5</v>
      </c>
      <c r="CF15" s="5">
        <v>6</v>
      </c>
      <c r="CG15" s="5">
        <v>9</v>
      </c>
      <c r="CH15" s="5" t="s">
        <v>296</v>
      </c>
      <c r="CI15" s="5" t="s">
        <v>297</v>
      </c>
      <c r="CJ15" s="5" t="b">
        <v>1</v>
      </c>
      <c r="CK15" s="5" t="b">
        <v>0</v>
      </c>
      <c r="CL15" s="5" t="b">
        <v>0</v>
      </c>
      <c r="CM15" s="5" t="b">
        <v>1</v>
      </c>
      <c r="CN15" s="5" t="b">
        <v>0</v>
      </c>
      <c r="CO15" s="5" t="b">
        <v>0</v>
      </c>
      <c r="CP15" s="5" t="b">
        <v>0</v>
      </c>
      <c r="CQ15" s="5" t="b">
        <v>0</v>
      </c>
      <c r="CR15" s="5" t="b">
        <v>0</v>
      </c>
      <c r="CS15" s="5" t="b">
        <v>0</v>
      </c>
      <c r="CT15" s="5" t="b">
        <v>0</v>
      </c>
      <c r="CU15" s="5" t="b">
        <v>0</v>
      </c>
      <c r="CV15" s="5" t="b">
        <v>0</v>
      </c>
      <c r="CW15" s="5" t="b">
        <v>1</v>
      </c>
      <c r="CX15" s="5" t="b">
        <v>0</v>
      </c>
      <c r="CY15" s="5" t="b">
        <v>0</v>
      </c>
      <c r="CZ15" s="5" t="b">
        <v>0</v>
      </c>
      <c r="DA15" s="5" t="b">
        <v>0</v>
      </c>
      <c r="DB15" s="5" t="b">
        <v>0</v>
      </c>
      <c r="DC15" s="5" t="b">
        <v>0</v>
      </c>
      <c r="DD15" s="5" t="b">
        <v>0</v>
      </c>
      <c r="DE15" s="5" t="b">
        <v>0</v>
      </c>
      <c r="DF15" s="5" t="b">
        <v>0</v>
      </c>
      <c r="DG15" s="5" t="b">
        <v>0</v>
      </c>
      <c r="DH15" s="5" t="b">
        <v>0</v>
      </c>
      <c r="DI15" s="5" t="b">
        <v>0</v>
      </c>
      <c r="DJ15" s="5" t="b">
        <v>1</v>
      </c>
      <c r="DK15" s="5" t="s">
        <v>298</v>
      </c>
      <c r="DL15" s="5">
        <v>2</v>
      </c>
      <c r="DM15" s="5" t="s">
        <v>30</v>
      </c>
      <c r="DN15" s="5">
        <v>3</v>
      </c>
      <c r="DO15" s="5" t="s">
        <v>63</v>
      </c>
      <c r="DP15" s="5">
        <v>2</v>
      </c>
      <c r="DQ15" s="5" t="s">
        <v>63</v>
      </c>
      <c r="DR15" s="5">
        <v>4</v>
      </c>
      <c r="DS15" s="5" t="s">
        <v>77</v>
      </c>
      <c r="DT15" s="5">
        <v>7</v>
      </c>
      <c r="DU15" s="5" t="s">
        <v>66</v>
      </c>
      <c r="DV15" s="5">
        <v>8</v>
      </c>
      <c r="DW15" s="5" t="s">
        <v>81</v>
      </c>
      <c r="DX15" s="5">
        <v>2</v>
      </c>
      <c r="DY15" s="5" t="s">
        <v>84</v>
      </c>
      <c r="DZ15" s="5">
        <v>3</v>
      </c>
      <c r="EA15" s="5" t="s">
        <v>90</v>
      </c>
      <c r="EB15" s="5">
        <v>3</v>
      </c>
      <c r="EC15" s="5" t="s">
        <v>93</v>
      </c>
      <c r="ED15" s="5" t="b">
        <v>1</v>
      </c>
      <c r="EE15" s="5" t="b">
        <v>0</v>
      </c>
      <c r="EF15" s="5" t="b">
        <v>0</v>
      </c>
      <c r="EG15" s="5" t="b">
        <v>1</v>
      </c>
      <c r="EH15" s="5">
        <v>2</v>
      </c>
      <c r="EI15" s="5">
        <v>3</v>
      </c>
      <c r="EJ15" s="5" t="s">
        <v>139</v>
      </c>
    </row>
    <row r="16" spans="1:142" x14ac:dyDescent="0.25">
      <c r="A16" s="5">
        <v>15</v>
      </c>
      <c r="B16" s="11">
        <v>45032</v>
      </c>
      <c r="C16" s="12">
        <v>0.54513888888888895</v>
      </c>
      <c r="D16" s="12" t="str">
        <f t="shared" si="0"/>
        <v>15   04/16/2023   13:05</v>
      </c>
      <c r="E16" s="5">
        <v>2</v>
      </c>
      <c r="F16" s="5" t="s">
        <v>1</v>
      </c>
      <c r="G16" s="5">
        <v>50</v>
      </c>
      <c r="H16" s="5">
        <v>2</v>
      </c>
      <c r="I16" s="5" t="s">
        <v>2</v>
      </c>
      <c r="J16" s="5">
        <v>6</v>
      </c>
      <c r="K16" s="5" t="s">
        <v>15</v>
      </c>
      <c r="L16" s="5" t="b">
        <v>1</v>
      </c>
      <c r="M16" s="5" t="b">
        <v>0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1</v>
      </c>
      <c r="T16" s="5" t="b">
        <v>0</v>
      </c>
      <c r="U16" s="5" t="b">
        <v>0</v>
      </c>
      <c r="V16" s="5" t="b">
        <v>0</v>
      </c>
      <c r="W16" s="5" t="b">
        <v>0</v>
      </c>
      <c r="X16" s="5" t="b">
        <v>0</v>
      </c>
      <c r="Y16" s="5" t="b">
        <v>0</v>
      </c>
      <c r="Z16" s="5" t="b">
        <v>1</v>
      </c>
      <c r="AA16" s="5" t="b">
        <v>0</v>
      </c>
      <c r="AB16" s="5" t="b">
        <v>0</v>
      </c>
      <c r="AC16" s="5" t="b">
        <v>0</v>
      </c>
      <c r="AD16" s="5" t="b">
        <v>0</v>
      </c>
      <c r="AE16" s="5" t="b">
        <v>0</v>
      </c>
      <c r="AF16" s="5" t="b">
        <v>0</v>
      </c>
      <c r="AG16" s="5" t="b">
        <v>0</v>
      </c>
      <c r="AH16" s="5" t="b">
        <v>0</v>
      </c>
      <c r="AI16" s="5" t="b">
        <v>0</v>
      </c>
      <c r="AJ16" s="5" t="b">
        <v>1</v>
      </c>
      <c r="AK16" s="5" t="b">
        <v>0</v>
      </c>
      <c r="AL16" s="5" t="b">
        <v>1</v>
      </c>
      <c r="AM16" s="5">
        <v>2</v>
      </c>
      <c r="AN16" s="5" t="s">
        <v>30</v>
      </c>
      <c r="AO16" s="5" t="s">
        <v>292</v>
      </c>
      <c r="AP16" s="5" t="s">
        <v>293</v>
      </c>
      <c r="AQ16" s="5">
        <v>2</v>
      </c>
      <c r="AR16" s="5" t="s">
        <v>130</v>
      </c>
      <c r="AS16" s="5">
        <v>2</v>
      </c>
      <c r="AT16" s="5" t="s">
        <v>63</v>
      </c>
      <c r="AU16" s="5">
        <v>5</v>
      </c>
      <c r="AV16" s="5" t="s">
        <v>70</v>
      </c>
      <c r="AW16" s="5">
        <v>2</v>
      </c>
      <c r="AX16" s="5" t="s">
        <v>72</v>
      </c>
      <c r="AY16" s="5">
        <v>12</v>
      </c>
      <c r="AZ16" s="5" t="s">
        <v>80</v>
      </c>
      <c r="BA16" s="5">
        <v>2</v>
      </c>
      <c r="BB16" s="5" t="s">
        <v>84</v>
      </c>
      <c r="BC16" s="5">
        <v>3</v>
      </c>
      <c r="BD16" s="5" t="s">
        <v>90</v>
      </c>
      <c r="BE16" s="5">
        <v>2</v>
      </c>
      <c r="BF16" s="5" t="s">
        <v>92</v>
      </c>
      <c r="BG16" s="5" t="b">
        <v>1</v>
      </c>
      <c r="BH16" s="5" t="b">
        <v>0</v>
      </c>
      <c r="BI16" s="5" t="b">
        <v>1</v>
      </c>
      <c r="BJ16" s="5" t="b">
        <v>1</v>
      </c>
      <c r="BK16" s="5">
        <v>3</v>
      </c>
      <c r="BL16" s="5">
        <v>2</v>
      </c>
      <c r="BM16" s="5" t="s">
        <v>95</v>
      </c>
      <c r="BN16" s="5" t="s">
        <v>294</v>
      </c>
      <c r="BO16" s="5">
        <v>2</v>
      </c>
      <c r="BP16" s="5" t="s">
        <v>101</v>
      </c>
      <c r="BQ16" s="5" t="s">
        <v>295</v>
      </c>
      <c r="BR16" s="5">
        <v>2</v>
      </c>
      <c r="BS16" s="5" t="s">
        <v>105</v>
      </c>
      <c r="BT16" s="5">
        <v>2</v>
      </c>
      <c r="BU16" s="5" t="s">
        <v>111</v>
      </c>
      <c r="BV16" s="5">
        <v>2</v>
      </c>
      <c r="BW16" s="5" t="s">
        <v>116</v>
      </c>
      <c r="BX16" s="5">
        <v>2</v>
      </c>
      <c r="BY16" s="5" t="s">
        <v>122</v>
      </c>
      <c r="BZ16" s="5" t="b">
        <v>1</v>
      </c>
      <c r="CA16" s="5" t="b">
        <v>1</v>
      </c>
      <c r="CB16" s="5" t="b">
        <v>1</v>
      </c>
      <c r="CC16" s="5" t="b">
        <v>1</v>
      </c>
      <c r="CD16" s="5" t="b">
        <v>1</v>
      </c>
      <c r="CE16" s="5">
        <v>5</v>
      </c>
      <c r="CF16" s="5">
        <v>6</v>
      </c>
      <c r="CG16" s="5">
        <v>9</v>
      </c>
      <c r="CH16" s="5" t="s">
        <v>296</v>
      </c>
      <c r="CI16" s="5" t="s">
        <v>297</v>
      </c>
      <c r="CJ16" s="5" t="b">
        <v>1</v>
      </c>
      <c r="CK16" s="5" t="b">
        <v>0</v>
      </c>
      <c r="CL16" s="5" t="b">
        <v>0</v>
      </c>
      <c r="CM16" s="5" t="b">
        <v>1</v>
      </c>
      <c r="CN16" s="5" t="b">
        <v>0</v>
      </c>
      <c r="CO16" s="5" t="b">
        <v>0</v>
      </c>
      <c r="CP16" s="5" t="b">
        <v>0</v>
      </c>
      <c r="CQ16" s="5" t="b">
        <v>0</v>
      </c>
      <c r="CR16" s="5" t="b">
        <v>0</v>
      </c>
      <c r="CS16" s="5" t="b">
        <v>0</v>
      </c>
      <c r="CT16" s="5" t="b">
        <v>0</v>
      </c>
      <c r="CU16" s="5" t="b">
        <v>0</v>
      </c>
      <c r="CV16" s="5" t="b">
        <v>0</v>
      </c>
      <c r="CW16" s="5" t="b">
        <v>1</v>
      </c>
      <c r="CX16" s="5" t="b">
        <v>0</v>
      </c>
      <c r="CY16" s="5" t="b">
        <v>0</v>
      </c>
      <c r="CZ16" s="5" t="b">
        <v>0</v>
      </c>
      <c r="DA16" s="5" t="b">
        <v>0</v>
      </c>
      <c r="DB16" s="5" t="b">
        <v>0</v>
      </c>
      <c r="DC16" s="5" t="b">
        <v>0</v>
      </c>
      <c r="DD16" s="5" t="b">
        <v>0</v>
      </c>
      <c r="DE16" s="5" t="b">
        <v>0</v>
      </c>
      <c r="DF16" s="5" t="b">
        <v>0</v>
      </c>
      <c r="DG16" s="5" t="b">
        <v>0</v>
      </c>
      <c r="DH16" s="5" t="b">
        <v>0</v>
      </c>
      <c r="DI16" s="5" t="b">
        <v>0</v>
      </c>
      <c r="DJ16" s="5" t="b">
        <v>1</v>
      </c>
      <c r="DK16" s="5" t="s">
        <v>298</v>
      </c>
      <c r="DL16" s="5">
        <v>2</v>
      </c>
      <c r="DM16" s="5" t="s">
        <v>30</v>
      </c>
      <c r="DN16" s="5">
        <v>3</v>
      </c>
      <c r="DO16" s="5" t="s">
        <v>63</v>
      </c>
      <c r="DP16" s="5">
        <v>2</v>
      </c>
      <c r="DQ16" s="5" t="s">
        <v>63</v>
      </c>
      <c r="DR16" s="5">
        <v>4</v>
      </c>
      <c r="DS16" s="5" t="s">
        <v>77</v>
      </c>
      <c r="DT16" s="5">
        <v>7</v>
      </c>
      <c r="DU16" s="5" t="s">
        <v>66</v>
      </c>
      <c r="DV16" s="5">
        <v>8</v>
      </c>
      <c r="DW16" s="5" t="s">
        <v>81</v>
      </c>
      <c r="DX16" s="5">
        <v>2</v>
      </c>
      <c r="DY16" s="5" t="s">
        <v>84</v>
      </c>
      <c r="DZ16" s="5">
        <v>3</v>
      </c>
      <c r="EA16" s="5" t="s">
        <v>90</v>
      </c>
      <c r="EB16" s="5">
        <v>3</v>
      </c>
      <c r="EC16" s="5" t="s">
        <v>93</v>
      </c>
      <c r="ED16" s="5" t="b">
        <v>1</v>
      </c>
      <c r="EE16" s="5" t="b">
        <v>0</v>
      </c>
      <c r="EF16" s="5" t="b">
        <v>0</v>
      </c>
      <c r="EG16" s="5" t="b">
        <v>1</v>
      </c>
      <c r="EH16" s="5">
        <v>2</v>
      </c>
      <c r="EI16" s="5">
        <v>3</v>
      </c>
      <c r="EJ16" s="5" t="s">
        <v>139</v>
      </c>
    </row>
    <row r="17" spans="1:140" x14ac:dyDescent="0.25">
      <c r="A17" s="5">
        <v>16</v>
      </c>
      <c r="B17" s="11">
        <v>45032</v>
      </c>
      <c r="C17" s="12">
        <v>0.54513888888888895</v>
      </c>
      <c r="D17" s="12" t="str">
        <f t="shared" si="0"/>
        <v>16   04/16/2023   13:05</v>
      </c>
      <c r="E17" s="5">
        <v>2</v>
      </c>
      <c r="F17" s="5" t="s">
        <v>1</v>
      </c>
      <c r="G17" s="5">
        <v>50</v>
      </c>
      <c r="H17" s="5">
        <v>2</v>
      </c>
      <c r="I17" s="5" t="s">
        <v>2</v>
      </c>
      <c r="J17" s="5">
        <v>6</v>
      </c>
      <c r="K17" s="5" t="s">
        <v>15</v>
      </c>
      <c r="L17" s="5" t="b">
        <v>1</v>
      </c>
      <c r="M17" s="5" t="b">
        <v>0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1</v>
      </c>
      <c r="T17" s="5" t="b">
        <v>0</v>
      </c>
      <c r="U17" s="5" t="b">
        <v>0</v>
      </c>
      <c r="V17" s="5" t="b">
        <v>0</v>
      </c>
      <c r="W17" s="5" t="b">
        <v>0</v>
      </c>
      <c r="X17" s="5" t="b">
        <v>0</v>
      </c>
      <c r="Y17" s="5" t="b">
        <v>0</v>
      </c>
      <c r="Z17" s="5" t="b">
        <v>1</v>
      </c>
      <c r="AA17" s="5" t="b">
        <v>0</v>
      </c>
      <c r="AB17" s="5" t="b">
        <v>0</v>
      </c>
      <c r="AC17" s="5" t="b">
        <v>0</v>
      </c>
      <c r="AD17" s="5" t="b">
        <v>0</v>
      </c>
      <c r="AE17" s="5" t="b">
        <v>0</v>
      </c>
      <c r="AF17" s="5" t="b">
        <v>0</v>
      </c>
      <c r="AG17" s="5" t="b">
        <v>0</v>
      </c>
      <c r="AH17" s="5" t="b">
        <v>0</v>
      </c>
      <c r="AI17" s="5" t="b">
        <v>0</v>
      </c>
      <c r="AJ17" s="5" t="b">
        <v>1</v>
      </c>
      <c r="AK17" s="5" t="b">
        <v>0</v>
      </c>
      <c r="AL17" s="5" t="b">
        <v>1</v>
      </c>
      <c r="AM17" s="5">
        <v>2</v>
      </c>
      <c r="AN17" s="5" t="s">
        <v>30</v>
      </c>
      <c r="AO17" s="5" t="s">
        <v>292</v>
      </c>
      <c r="AP17" s="5" t="s">
        <v>293</v>
      </c>
      <c r="AQ17" s="5">
        <v>2</v>
      </c>
      <c r="AR17" s="5" t="s">
        <v>130</v>
      </c>
      <c r="AS17" s="5">
        <v>2</v>
      </c>
      <c r="AT17" s="5" t="s">
        <v>63</v>
      </c>
      <c r="AU17" s="5">
        <v>5</v>
      </c>
      <c r="AV17" s="5" t="s">
        <v>70</v>
      </c>
      <c r="AW17" s="5">
        <v>2</v>
      </c>
      <c r="AX17" s="5" t="s">
        <v>72</v>
      </c>
      <c r="AY17" s="5">
        <v>12</v>
      </c>
      <c r="AZ17" s="5" t="s">
        <v>80</v>
      </c>
      <c r="BA17" s="5">
        <v>2</v>
      </c>
      <c r="BB17" s="5" t="s">
        <v>84</v>
      </c>
      <c r="BC17" s="5">
        <v>3</v>
      </c>
      <c r="BD17" s="5" t="s">
        <v>90</v>
      </c>
      <c r="BE17" s="5">
        <v>2</v>
      </c>
      <c r="BF17" s="5" t="s">
        <v>92</v>
      </c>
      <c r="BG17" s="5" t="b">
        <v>1</v>
      </c>
      <c r="BH17" s="5" t="b">
        <v>0</v>
      </c>
      <c r="BI17" s="5" t="b">
        <v>1</v>
      </c>
      <c r="BJ17" s="5" t="b">
        <v>1</v>
      </c>
      <c r="BK17" s="5">
        <v>3</v>
      </c>
      <c r="BL17" s="5">
        <v>2</v>
      </c>
      <c r="BM17" s="5" t="s">
        <v>95</v>
      </c>
      <c r="BN17" s="5" t="s">
        <v>294</v>
      </c>
      <c r="BO17" s="5">
        <v>2</v>
      </c>
      <c r="BP17" s="5" t="s">
        <v>101</v>
      </c>
      <c r="BQ17" s="5" t="s">
        <v>295</v>
      </c>
      <c r="BR17" s="5">
        <v>2</v>
      </c>
      <c r="BS17" s="5" t="s">
        <v>105</v>
      </c>
      <c r="BT17" s="5">
        <v>2</v>
      </c>
      <c r="BU17" s="5" t="s">
        <v>111</v>
      </c>
      <c r="BV17" s="5">
        <v>2</v>
      </c>
      <c r="BW17" s="5" t="s">
        <v>116</v>
      </c>
      <c r="BX17" s="5">
        <v>2</v>
      </c>
      <c r="BY17" s="5" t="s">
        <v>122</v>
      </c>
      <c r="BZ17" s="5" t="b">
        <v>1</v>
      </c>
      <c r="CA17" s="5" t="b">
        <v>1</v>
      </c>
      <c r="CB17" s="5" t="b">
        <v>1</v>
      </c>
      <c r="CC17" s="5" t="b">
        <v>1</v>
      </c>
      <c r="CD17" s="5" t="b">
        <v>1</v>
      </c>
      <c r="CE17" s="5">
        <v>5</v>
      </c>
      <c r="CF17" s="5">
        <v>6</v>
      </c>
      <c r="CG17" s="5">
        <v>9</v>
      </c>
      <c r="CH17" s="5" t="s">
        <v>296</v>
      </c>
      <c r="CI17" s="5" t="s">
        <v>297</v>
      </c>
      <c r="CJ17" s="5" t="b">
        <v>1</v>
      </c>
      <c r="CK17" s="5" t="b">
        <v>0</v>
      </c>
      <c r="CL17" s="5" t="b">
        <v>0</v>
      </c>
      <c r="CM17" s="5" t="b">
        <v>1</v>
      </c>
      <c r="CN17" s="5" t="b">
        <v>0</v>
      </c>
      <c r="CO17" s="5" t="b">
        <v>0</v>
      </c>
      <c r="CP17" s="5" t="b">
        <v>0</v>
      </c>
      <c r="CQ17" s="5" t="b">
        <v>0</v>
      </c>
      <c r="CR17" s="5" t="b">
        <v>0</v>
      </c>
      <c r="CS17" s="5" t="b">
        <v>0</v>
      </c>
      <c r="CT17" s="5" t="b">
        <v>0</v>
      </c>
      <c r="CU17" s="5" t="b">
        <v>0</v>
      </c>
      <c r="CV17" s="5" t="b">
        <v>0</v>
      </c>
      <c r="CW17" s="5" t="b">
        <v>1</v>
      </c>
      <c r="CX17" s="5" t="b">
        <v>0</v>
      </c>
      <c r="CY17" s="5" t="b">
        <v>0</v>
      </c>
      <c r="CZ17" s="5" t="b">
        <v>0</v>
      </c>
      <c r="DA17" s="5" t="b">
        <v>0</v>
      </c>
      <c r="DB17" s="5" t="b">
        <v>0</v>
      </c>
      <c r="DC17" s="5" t="b">
        <v>0</v>
      </c>
      <c r="DD17" s="5" t="b">
        <v>0</v>
      </c>
      <c r="DE17" s="5" t="b">
        <v>0</v>
      </c>
      <c r="DF17" s="5" t="b">
        <v>0</v>
      </c>
      <c r="DG17" s="5" t="b">
        <v>0</v>
      </c>
      <c r="DH17" s="5" t="b">
        <v>0</v>
      </c>
      <c r="DI17" s="5" t="b">
        <v>0</v>
      </c>
      <c r="DJ17" s="5" t="b">
        <v>1</v>
      </c>
      <c r="DK17" s="5" t="s">
        <v>298</v>
      </c>
      <c r="DL17" s="5">
        <v>2</v>
      </c>
      <c r="DM17" s="5" t="s">
        <v>30</v>
      </c>
      <c r="DN17" s="5">
        <v>3</v>
      </c>
      <c r="DO17" s="5" t="s">
        <v>63</v>
      </c>
      <c r="DP17" s="5">
        <v>2</v>
      </c>
      <c r="DQ17" s="5" t="s">
        <v>63</v>
      </c>
      <c r="DR17" s="5">
        <v>4</v>
      </c>
      <c r="DS17" s="5" t="s">
        <v>77</v>
      </c>
      <c r="DT17" s="5">
        <v>7</v>
      </c>
      <c r="DU17" s="5" t="s">
        <v>66</v>
      </c>
      <c r="DV17" s="5">
        <v>8</v>
      </c>
      <c r="DW17" s="5" t="s">
        <v>81</v>
      </c>
      <c r="DX17" s="5">
        <v>2</v>
      </c>
      <c r="DY17" s="5" t="s">
        <v>84</v>
      </c>
      <c r="DZ17" s="5">
        <v>3</v>
      </c>
      <c r="EA17" s="5" t="s">
        <v>90</v>
      </c>
      <c r="EB17" s="5">
        <v>3</v>
      </c>
      <c r="EC17" s="5" t="s">
        <v>93</v>
      </c>
      <c r="ED17" s="5" t="b">
        <v>1</v>
      </c>
      <c r="EE17" s="5" t="b">
        <v>0</v>
      </c>
      <c r="EF17" s="5" t="b">
        <v>0</v>
      </c>
      <c r="EG17" s="5" t="b">
        <v>1</v>
      </c>
      <c r="EH17" s="5">
        <v>2</v>
      </c>
      <c r="EI17" s="5">
        <v>3</v>
      </c>
      <c r="EJ17" s="5" t="s">
        <v>139</v>
      </c>
    </row>
    <row r="18" spans="1:140" x14ac:dyDescent="0.25">
      <c r="A18" s="5">
        <v>17</v>
      </c>
      <c r="B18" s="11">
        <v>45032</v>
      </c>
      <c r="C18" s="12">
        <v>0.54513888888888895</v>
      </c>
      <c r="D18" s="12" t="str">
        <f t="shared" si="0"/>
        <v>17   04/16/2023   13:05</v>
      </c>
      <c r="E18" s="5">
        <v>2</v>
      </c>
      <c r="F18" s="5" t="s">
        <v>1</v>
      </c>
      <c r="G18" s="5">
        <v>50</v>
      </c>
      <c r="H18" s="5">
        <v>2</v>
      </c>
      <c r="I18" s="5" t="s">
        <v>2</v>
      </c>
      <c r="J18" s="5">
        <v>6</v>
      </c>
      <c r="K18" s="5" t="s">
        <v>15</v>
      </c>
      <c r="L18" s="5" t="b">
        <v>1</v>
      </c>
      <c r="M18" s="5" t="b">
        <v>0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1</v>
      </c>
      <c r="T18" s="5" t="b">
        <v>0</v>
      </c>
      <c r="U18" s="5" t="b">
        <v>0</v>
      </c>
      <c r="V18" s="5" t="b">
        <v>0</v>
      </c>
      <c r="W18" s="5" t="b">
        <v>0</v>
      </c>
      <c r="X18" s="5" t="b">
        <v>0</v>
      </c>
      <c r="Y18" s="5" t="b">
        <v>0</v>
      </c>
      <c r="Z18" s="5" t="b">
        <v>1</v>
      </c>
      <c r="AA18" s="5" t="b">
        <v>0</v>
      </c>
      <c r="AB18" s="5" t="b">
        <v>0</v>
      </c>
      <c r="AC18" s="5" t="b">
        <v>0</v>
      </c>
      <c r="AD18" s="5" t="b">
        <v>0</v>
      </c>
      <c r="AE18" s="5" t="b">
        <v>0</v>
      </c>
      <c r="AF18" s="5" t="b">
        <v>0</v>
      </c>
      <c r="AG18" s="5" t="b">
        <v>0</v>
      </c>
      <c r="AH18" s="5" t="b">
        <v>0</v>
      </c>
      <c r="AI18" s="5" t="b">
        <v>0</v>
      </c>
      <c r="AJ18" s="5" t="b">
        <v>1</v>
      </c>
      <c r="AK18" s="5" t="b">
        <v>0</v>
      </c>
      <c r="AL18" s="5" t="b">
        <v>1</v>
      </c>
      <c r="AM18" s="5">
        <v>2</v>
      </c>
      <c r="AN18" s="5" t="s">
        <v>30</v>
      </c>
      <c r="AO18" s="5" t="s">
        <v>292</v>
      </c>
      <c r="AP18" s="5" t="s">
        <v>293</v>
      </c>
      <c r="AQ18" s="5">
        <v>2</v>
      </c>
      <c r="AR18" s="5" t="s">
        <v>130</v>
      </c>
      <c r="AS18" s="5">
        <v>2</v>
      </c>
      <c r="AT18" s="5" t="s">
        <v>63</v>
      </c>
      <c r="AU18" s="5">
        <v>5</v>
      </c>
      <c r="AV18" s="5" t="s">
        <v>70</v>
      </c>
      <c r="AW18" s="5">
        <v>2</v>
      </c>
      <c r="AX18" s="5" t="s">
        <v>72</v>
      </c>
      <c r="AY18" s="5">
        <v>12</v>
      </c>
      <c r="AZ18" s="5" t="s">
        <v>80</v>
      </c>
      <c r="BA18" s="5">
        <v>2</v>
      </c>
      <c r="BB18" s="5" t="s">
        <v>84</v>
      </c>
      <c r="BC18" s="5">
        <v>3</v>
      </c>
      <c r="BD18" s="5" t="s">
        <v>90</v>
      </c>
      <c r="BE18" s="5">
        <v>2</v>
      </c>
      <c r="BF18" s="5" t="s">
        <v>92</v>
      </c>
      <c r="BG18" s="5" t="b">
        <v>1</v>
      </c>
      <c r="BH18" s="5" t="b">
        <v>0</v>
      </c>
      <c r="BI18" s="5" t="b">
        <v>1</v>
      </c>
      <c r="BJ18" s="5" t="b">
        <v>1</v>
      </c>
      <c r="BK18" s="5">
        <v>3</v>
      </c>
      <c r="BL18" s="5">
        <v>2</v>
      </c>
      <c r="BM18" s="5" t="s">
        <v>95</v>
      </c>
      <c r="BN18" s="5" t="s">
        <v>294</v>
      </c>
      <c r="BO18" s="5">
        <v>2</v>
      </c>
      <c r="BP18" s="5" t="s">
        <v>101</v>
      </c>
      <c r="BQ18" s="5" t="s">
        <v>295</v>
      </c>
      <c r="BR18" s="5">
        <v>2</v>
      </c>
      <c r="BS18" s="5" t="s">
        <v>105</v>
      </c>
      <c r="BT18" s="5">
        <v>2</v>
      </c>
      <c r="BU18" s="5" t="s">
        <v>111</v>
      </c>
      <c r="BV18" s="5">
        <v>2</v>
      </c>
      <c r="BW18" s="5" t="s">
        <v>116</v>
      </c>
      <c r="BX18" s="5">
        <v>2</v>
      </c>
      <c r="BY18" s="5" t="s">
        <v>122</v>
      </c>
      <c r="BZ18" s="5" t="b">
        <v>1</v>
      </c>
      <c r="CA18" s="5" t="b">
        <v>1</v>
      </c>
      <c r="CB18" s="5" t="b">
        <v>1</v>
      </c>
      <c r="CC18" s="5" t="b">
        <v>1</v>
      </c>
      <c r="CD18" s="5" t="b">
        <v>1</v>
      </c>
      <c r="CE18" s="5">
        <v>5</v>
      </c>
      <c r="CF18" s="5">
        <v>6</v>
      </c>
      <c r="CG18" s="5">
        <v>9</v>
      </c>
      <c r="CH18" s="5" t="s">
        <v>296</v>
      </c>
      <c r="CI18" s="5" t="s">
        <v>297</v>
      </c>
      <c r="CJ18" s="5" t="b">
        <v>1</v>
      </c>
      <c r="CK18" s="5" t="b">
        <v>0</v>
      </c>
      <c r="CL18" s="5" t="b">
        <v>0</v>
      </c>
      <c r="CM18" s="5" t="b">
        <v>1</v>
      </c>
      <c r="CN18" s="5" t="b">
        <v>0</v>
      </c>
      <c r="CO18" s="5" t="b">
        <v>0</v>
      </c>
      <c r="CP18" s="5" t="b">
        <v>0</v>
      </c>
      <c r="CQ18" s="5" t="b">
        <v>0</v>
      </c>
      <c r="CR18" s="5" t="b">
        <v>0</v>
      </c>
      <c r="CS18" s="5" t="b">
        <v>0</v>
      </c>
      <c r="CT18" s="5" t="b">
        <v>0</v>
      </c>
      <c r="CU18" s="5" t="b">
        <v>0</v>
      </c>
      <c r="CV18" s="5" t="b">
        <v>0</v>
      </c>
      <c r="CW18" s="5" t="b">
        <v>1</v>
      </c>
      <c r="CX18" s="5" t="b">
        <v>0</v>
      </c>
      <c r="CY18" s="5" t="b">
        <v>0</v>
      </c>
      <c r="CZ18" s="5" t="b">
        <v>0</v>
      </c>
      <c r="DA18" s="5" t="b">
        <v>0</v>
      </c>
      <c r="DB18" s="5" t="b">
        <v>0</v>
      </c>
      <c r="DC18" s="5" t="b">
        <v>0</v>
      </c>
      <c r="DD18" s="5" t="b">
        <v>0</v>
      </c>
      <c r="DE18" s="5" t="b">
        <v>0</v>
      </c>
      <c r="DF18" s="5" t="b">
        <v>0</v>
      </c>
      <c r="DG18" s="5" t="b">
        <v>0</v>
      </c>
      <c r="DH18" s="5" t="b">
        <v>0</v>
      </c>
      <c r="DI18" s="5" t="b">
        <v>0</v>
      </c>
      <c r="DJ18" s="5" t="b">
        <v>1</v>
      </c>
      <c r="DK18" s="5" t="s">
        <v>298</v>
      </c>
      <c r="DL18" s="5">
        <v>2</v>
      </c>
      <c r="DM18" s="5" t="s">
        <v>30</v>
      </c>
      <c r="DN18" s="5">
        <v>3</v>
      </c>
      <c r="DO18" s="5" t="s">
        <v>63</v>
      </c>
      <c r="DP18" s="5">
        <v>2</v>
      </c>
      <c r="DQ18" s="5" t="s">
        <v>63</v>
      </c>
      <c r="DR18" s="5">
        <v>4</v>
      </c>
      <c r="DS18" s="5" t="s">
        <v>77</v>
      </c>
      <c r="DT18" s="5">
        <v>7</v>
      </c>
      <c r="DU18" s="5" t="s">
        <v>66</v>
      </c>
      <c r="DV18" s="5">
        <v>8</v>
      </c>
      <c r="DW18" s="5" t="s">
        <v>81</v>
      </c>
      <c r="DX18" s="5">
        <v>2</v>
      </c>
      <c r="DY18" s="5" t="s">
        <v>84</v>
      </c>
      <c r="DZ18" s="5">
        <v>3</v>
      </c>
      <c r="EA18" s="5" t="s">
        <v>90</v>
      </c>
      <c r="EB18" s="5">
        <v>3</v>
      </c>
      <c r="EC18" s="5" t="s">
        <v>93</v>
      </c>
      <c r="ED18" s="5" t="b">
        <v>1</v>
      </c>
      <c r="EE18" s="5" t="b">
        <v>0</v>
      </c>
      <c r="EF18" s="5" t="b">
        <v>0</v>
      </c>
      <c r="EG18" s="5" t="b">
        <v>1</v>
      </c>
      <c r="EH18" s="5">
        <v>2</v>
      </c>
      <c r="EI18" s="5">
        <v>3</v>
      </c>
      <c r="EJ18" s="5" t="s">
        <v>139</v>
      </c>
    </row>
    <row r="19" spans="1:140" x14ac:dyDescent="0.25">
      <c r="A19" s="5">
        <v>18</v>
      </c>
      <c r="B19" s="11">
        <v>45032</v>
      </c>
      <c r="C19" s="12">
        <v>0.54513888888888895</v>
      </c>
      <c r="D19" s="12" t="str">
        <f t="shared" si="0"/>
        <v>18   04/16/2023   13:05</v>
      </c>
      <c r="E19" s="5">
        <v>2</v>
      </c>
      <c r="F19" s="5" t="s">
        <v>1</v>
      </c>
      <c r="G19" s="5">
        <v>50</v>
      </c>
      <c r="H19" s="5">
        <v>2</v>
      </c>
      <c r="I19" s="5" t="s">
        <v>2</v>
      </c>
      <c r="J19" s="5">
        <v>6</v>
      </c>
      <c r="K19" s="5" t="s">
        <v>15</v>
      </c>
      <c r="L19" s="5" t="b">
        <v>1</v>
      </c>
      <c r="M19" s="5" t="b">
        <v>0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1</v>
      </c>
      <c r="T19" s="5" t="b">
        <v>0</v>
      </c>
      <c r="U19" s="5" t="b">
        <v>0</v>
      </c>
      <c r="V19" s="5" t="b">
        <v>0</v>
      </c>
      <c r="W19" s="5" t="b">
        <v>0</v>
      </c>
      <c r="X19" s="5" t="b">
        <v>0</v>
      </c>
      <c r="Y19" s="5" t="b">
        <v>0</v>
      </c>
      <c r="Z19" s="5" t="b">
        <v>1</v>
      </c>
      <c r="AA19" s="5" t="b">
        <v>0</v>
      </c>
      <c r="AB19" s="5" t="b">
        <v>0</v>
      </c>
      <c r="AC19" s="5" t="b">
        <v>0</v>
      </c>
      <c r="AD19" s="5" t="b">
        <v>0</v>
      </c>
      <c r="AE19" s="5" t="b">
        <v>0</v>
      </c>
      <c r="AF19" s="5" t="b">
        <v>0</v>
      </c>
      <c r="AG19" s="5" t="b">
        <v>0</v>
      </c>
      <c r="AH19" s="5" t="b">
        <v>0</v>
      </c>
      <c r="AI19" s="5" t="b">
        <v>0</v>
      </c>
      <c r="AJ19" s="5" t="b">
        <v>1</v>
      </c>
      <c r="AK19" s="5" t="b">
        <v>0</v>
      </c>
      <c r="AL19" s="5" t="b">
        <v>1</v>
      </c>
      <c r="AM19" s="5">
        <v>2</v>
      </c>
      <c r="AN19" s="5" t="s">
        <v>30</v>
      </c>
      <c r="AO19" s="5" t="s">
        <v>292</v>
      </c>
      <c r="AP19" s="5" t="s">
        <v>293</v>
      </c>
      <c r="AQ19" s="5">
        <v>2</v>
      </c>
      <c r="AR19" s="5" t="s">
        <v>130</v>
      </c>
      <c r="AS19" s="5">
        <v>2</v>
      </c>
      <c r="AT19" s="5" t="s">
        <v>63</v>
      </c>
      <c r="AU19" s="5">
        <v>5</v>
      </c>
      <c r="AV19" s="5" t="s">
        <v>70</v>
      </c>
      <c r="AW19" s="5">
        <v>2</v>
      </c>
      <c r="AX19" s="5" t="s">
        <v>72</v>
      </c>
      <c r="AY19" s="5">
        <v>12</v>
      </c>
      <c r="AZ19" s="5" t="s">
        <v>80</v>
      </c>
      <c r="BA19" s="5">
        <v>2</v>
      </c>
      <c r="BB19" s="5" t="s">
        <v>84</v>
      </c>
      <c r="BC19" s="5">
        <v>3</v>
      </c>
      <c r="BD19" s="5" t="s">
        <v>90</v>
      </c>
      <c r="BE19" s="5">
        <v>2</v>
      </c>
      <c r="BF19" s="5" t="s">
        <v>92</v>
      </c>
      <c r="BG19" s="5" t="b">
        <v>1</v>
      </c>
      <c r="BH19" s="5" t="b">
        <v>0</v>
      </c>
      <c r="BI19" s="5" t="b">
        <v>1</v>
      </c>
      <c r="BJ19" s="5" t="b">
        <v>1</v>
      </c>
      <c r="BK19" s="5">
        <v>3</v>
      </c>
      <c r="BL19" s="5">
        <v>2</v>
      </c>
      <c r="BM19" s="5" t="s">
        <v>95</v>
      </c>
      <c r="BN19" s="5" t="s">
        <v>294</v>
      </c>
      <c r="BO19" s="5">
        <v>2</v>
      </c>
      <c r="BP19" s="5" t="s">
        <v>101</v>
      </c>
      <c r="BQ19" s="5" t="s">
        <v>295</v>
      </c>
      <c r="BR19" s="5">
        <v>2</v>
      </c>
      <c r="BS19" s="5" t="s">
        <v>105</v>
      </c>
      <c r="BT19" s="5">
        <v>2</v>
      </c>
      <c r="BU19" s="5" t="s">
        <v>111</v>
      </c>
      <c r="BV19" s="5">
        <v>2</v>
      </c>
      <c r="BW19" s="5" t="s">
        <v>116</v>
      </c>
      <c r="BX19" s="5">
        <v>2</v>
      </c>
      <c r="BY19" s="5" t="s">
        <v>122</v>
      </c>
      <c r="BZ19" s="5" t="b">
        <v>1</v>
      </c>
      <c r="CA19" s="5" t="b">
        <v>1</v>
      </c>
      <c r="CB19" s="5" t="b">
        <v>1</v>
      </c>
      <c r="CC19" s="5" t="b">
        <v>1</v>
      </c>
      <c r="CD19" s="5" t="b">
        <v>1</v>
      </c>
      <c r="CE19" s="5">
        <v>5</v>
      </c>
      <c r="CF19" s="5">
        <v>6</v>
      </c>
      <c r="CG19" s="5">
        <v>9</v>
      </c>
      <c r="CH19" s="5" t="s">
        <v>296</v>
      </c>
      <c r="CI19" s="5" t="s">
        <v>297</v>
      </c>
      <c r="CJ19" s="5" t="b">
        <v>1</v>
      </c>
      <c r="CK19" s="5" t="b">
        <v>0</v>
      </c>
      <c r="CL19" s="5" t="b">
        <v>0</v>
      </c>
      <c r="CM19" s="5" t="b">
        <v>1</v>
      </c>
      <c r="CN19" s="5" t="b">
        <v>0</v>
      </c>
      <c r="CO19" s="5" t="b">
        <v>0</v>
      </c>
      <c r="CP19" s="5" t="b">
        <v>0</v>
      </c>
      <c r="CQ19" s="5" t="b">
        <v>0</v>
      </c>
      <c r="CR19" s="5" t="b">
        <v>0</v>
      </c>
      <c r="CS19" s="5" t="b">
        <v>0</v>
      </c>
      <c r="CT19" s="5" t="b">
        <v>0</v>
      </c>
      <c r="CU19" s="5" t="b">
        <v>0</v>
      </c>
      <c r="CV19" s="5" t="b">
        <v>0</v>
      </c>
      <c r="CW19" s="5" t="b">
        <v>1</v>
      </c>
      <c r="CX19" s="5" t="b">
        <v>0</v>
      </c>
      <c r="CY19" s="5" t="b">
        <v>0</v>
      </c>
      <c r="CZ19" s="5" t="b">
        <v>0</v>
      </c>
      <c r="DA19" s="5" t="b">
        <v>0</v>
      </c>
      <c r="DB19" s="5" t="b">
        <v>0</v>
      </c>
      <c r="DC19" s="5" t="b">
        <v>0</v>
      </c>
      <c r="DD19" s="5" t="b">
        <v>0</v>
      </c>
      <c r="DE19" s="5" t="b">
        <v>0</v>
      </c>
      <c r="DF19" s="5" t="b">
        <v>0</v>
      </c>
      <c r="DG19" s="5" t="b">
        <v>0</v>
      </c>
      <c r="DH19" s="5" t="b">
        <v>0</v>
      </c>
      <c r="DI19" s="5" t="b">
        <v>0</v>
      </c>
      <c r="DJ19" s="5" t="b">
        <v>1</v>
      </c>
      <c r="DK19" s="5" t="s">
        <v>298</v>
      </c>
      <c r="DL19" s="5">
        <v>2</v>
      </c>
      <c r="DM19" s="5" t="s">
        <v>30</v>
      </c>
      <c r="DN19" s="5">
        <v>3</v>
      </c>
      <c r="DO19" s="5" t="s">
        <v>63</v>
      </c>
      <c r="DP19" s="5">
        <v>2</v>
      </c>
      <c r="DQ19" s="5" t="s">
        <v>63</v>
      </c>
      <c r="DR19" s="5">
        <v>4</v>
      </c>
      <c r="DS19" s="5" t="s">
        <v>77</v>
      </c>
      <c r="DT19" s="5">
        <v>7</v>
      </c>
      <c r="DU19" s="5" t="s">
        <v>66</v>
      </c>
      <c r="DV19" s="5">
        <v>8</v>
      </c>
      <c r="DW19" s="5" t="s">
        <v>81</v>
      </c>
      <c r="DX19" s="5">
        <v>2</v>
      </c>
      <c r="DY19" s="5" t="s">
        <v>84</v>
      </c>
      <c r="DZ19" s="5">
        <v>3</v>
      </c>
      <c r="EA19" s="5" t="s">
        <v>90</v>
      </c>
      <c r="EB19" s="5">
        <v>3</v>
      </c>
      <c r="EC19" s="5" t="s">
        <v>93</v>
      </c>
      <c r="ED19" s="5" t="b">
        <v>1</v>
      </c>
      <c r="EE19" s="5" t="b">
        <v>0</v>
      </c>
      <c r="EF19" s="5" t="b">
        <v>0</v>
      </c>
      <c r="EG19" s="5" t="b">
        <v>1</v>
      </c>
      <c r="EH19" s="5">
        <v>2</v>
      </c>
      <c r="EI19" s="5">
        <v>3</v>
      </c>
      <c r="EJ19" s="5" t="s">
        <v>139</v>
      </c>
    </row>
    <row r="20" spans="1:140" x14ac:dyDescent="0.25">
      <c r="A20" s="5">
        <v>19</v>
      </c>
      <c r="B20" s="11">
        <v>45032</v>
      </c>
      <c r="C20" s="12">
        <v>0.54513888888888895</v>
      </c>
      <c r="D20" s="12" t="str">
        <f t="shared" si="0"/>
        <v>19   04/16/2023   13:05</v>
      </c>
      <c r="E20" s="5">
        <v>2</v>
      </c>
      <c r="F20" s="5" t="s">
        <v>1</v>
      </c>
      <c r="G20" s="5">
        <v>50</v>
      </c>
      <c r="H20" s="5">
        <v>2</v>
      </c>
      <c r="I20" s="5" t="s">
        <v>2</v>
      </c>
      <c r="J20" s="5">
        <v>6</v>
      </c>
      <c r="K20" s="5" t="s">
        <v>15</v>
      </c>
      <c r="L20" s="5" t="b">
        <v>1</v>
      </c>
      <c r="M20" s="5" t="b">
        <v>0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1</v>
      </c>
      <c r="T20" s="5" t="b">
        <v>0</v>
      </c>
      <c r="U20" s="5" t="b">
        <v>0</v>
      </c>
      <c r="V20" s="5" t="b">
        <v>0</v>
      </c>
      <c r="W20" s="5" t="b">
        <v>0</v>
      </c>
      <c r="X20" s="5" t="b">
        <v>0</v>
      </c>
      <c r="Y20" s="5" t="b">
        <v>0</v>
      </c>
      <c r="Z20" s="5" t="b">
        <v>1</v>
      </c>
      <c r="AA20" s="5" t="b">
        <v>0</v>
      </c>
      <c r="AB20" s="5" t="b">
        <v>0</v>
      </c>
      <c r="AC20" s="5" t="b">
        <v>0</v>
      </c>
      <c r="AD20" s="5" t="b">
        <v>0</v>
      </c>
      <c r="AE20" s="5" t="b">
        <v>0</v>
      </c>
      <c r="AF20" s="5" t="b">
        <v>0</v>
      </c>
      <c r="AG20" s="5" t="b">
        <v>0</v>
      </c>
      <c r="AH20" s="5" t="b">
        <v>0</v>
      </c>
      <c r="AI20" s="5" t="b">
        <v>0</v>
      </c>
      <c r="AJ20" s="5" t="b">
        <v>1</v>
      </c>
      <c r="AK20" s="5" t="b">
        <v>0</v>
      </c>
      <c r="AL20" s="5" t="b">
        <v>1</v>
      </c>
      <c r="AM20" s="5">
        <v>2</v>
      </c>
      <c r="AN20" s="5" t="s">
        <v>30</v>
      </c>
      <c r="AO20" s="5" t="s">
        <v>292</v>
      </c>
      <c r="AP20" s="5" t="s">
        <v>293</v>
      </c>
      <c r="AQ20" s="5">
        <v>2</v>
      </c>
      <c r="AR20" s="5" t="s">
        <v>130</v>
      </c>
      <c r="AS20" s="5">
        <v>2</v>
      </c>
      <c r="AT20" s="5" t="s">
        <v>63</v>
      </c>
      <c r="AU20" s="5">
        <v>5</v>
      </c>
      <c r="AV20" s="5" t="s">
        <v>70</v>
      </c>
      <c r="AW20" s="5">
        <v>2</v>
      </c>
      <c r="AX20" s="5" t="s">
        <v>72</v>
      </c>
      <c r="AY20" s="5">
        <v>12</v>
      </c>
      <c r="AZ20" s="5" t="s">
        <v>80</v>
      </c>
      <c r="BA20" s="5">
        <v>2</v>
      </c>
      <c r="BB20" s="5" t="s">
        <v>84</v>
      </c>
      <c r="BC20" s="5">
        <v>3</v>
      </c>
      <c r="BD20" s="5" t="s">
        <v>90</v>
      </c>
      <c r="BE20" s="5">
        <v>2</v>
      </c>
      <c r="BF20" s="5" t="s">
        <v>92</v>
      </c>
      <c r="BG20" s="5" t="b">
        <v>1</v>
      </c>
      <c r="BH20" s="5" t="b">
        <v>0</v>
      </c>
      <c r="BI20" s="5" t="b">
        <v>1</v>
      </c>
      <c r="BJ20" s="5" t="b">
        <v>1</v>
      </c>
      <c r="BK20" s="5">
        <v>3</v>
      </c>
      <c r="BL20" s="5">
        <v>2</v>
      </c>
      <c r="BM20" s="5" t="s">
        <v>95</v>
      </c>
      <c r="BN20" s="5" t="s">
        <v>294</v>
      </c>
      <c r="BO20" s="5">
        <v>2</v>
      </c>
      <c r="BP20" s="5" t="s">
        <v>101</v>
      </c>
      <c r="BQ20" s="5" t="s">
        <v>295</v>
      </c>
      <c r="BR20" s="5">
        <v>2</v>
      </c>
      <c r="BS20" s="5" t="s">
        <v>105</v>
      </c>
      <c r="BT20" s="5">
        <v>2</v>
      </c>
      <c r="BU20" s="5" t="s">
        <v>111</v>
      </c>
      <c r="BV20" s="5">
        <v>2</v>
      </c>
      <c r="BW20" s="5" t="s">
        <v>116</v>
      </c>
      <c r="BX20" s="5">
        <v>2</v>
      </c>
      <c r="BY20" s="5" t="s">
        <v>122</v>
      </c>
      <c r="BZ20" s="5" t="b">
        <v>1</v>
      </c>
      <c r="CA20" s="5" t="b">
        <v>1</v>
      </c>
      <c r="CB20" s="5" t="b">
        <v>1</v>
      </c>
      <c r="CC20" s="5" t="b">
        <v>1</v>
      </c>
      <c r="CD20" s="5" t="b">
        <v>1</v>
      </c>
      <c r="CE20" s="5">
        <v>5</v>
      </c>
      <c r="CF20" s="5">
        <v>6</v>
      </c>
      <c r="CG20" s="5">
        <v>9</v>
      </c>
      <c r="CH20" s="5" t="s">
        <v>296</v>
      </c>
      <c r="CI20" s="5" t="s">
        <v>297</v>
      </c>
      <c r="CJ20" s="5" t="b">
        <v>1</v>
      </c>
      <c r="CK20" s="5" t="b">
        <v>0</v>
      </c>
      <c r="CL20" s="5" t="b">
        <v>0</v>
      </c>
      <c r="CM20" s="5" t="b">
        <v>1</v>
      </c>
      <c r="CN20" s="5" t="b">
        <v>0</v>
      </c>
      <c r="CO20" s="5" t="b">
        <v>0</v>
      </c>
      <c r="CP20" s="5" t="b">
        <v>0</v>
      </c>
      <c r="CQ20" s="5" t="b">
        <v>0</v>
      </c>
      <c r="CR20" s="5" t="b">
        <v>0</v>
      </c>
      <c r="CS20" s="5" t="b">
        <v>0</v>
      </c>
      <c r="CT20" s="5" t="b">
        <v>0</v>
      </c>
      <c r="CU20" s="5" t="b">
        <v>0</v>
      </c>
      <c r="CV20" s="5" t="b">
        <v>0</v>
      </c>
      <c r="CW20" s="5" t="b">
        <v>1</v>
      </c>
      <c r="CX20" s="5" t="b">
        <v>0</v>
      </c>
      <c r="CY20" s="5" t="b">
        <v>0</v>
      </c>
      <c r="CZ20" s="5" t="b">
        <v>0</v>
      </c>
      <c r="DA20" s="5" t="b">
        <v>0</v>
      </c>
      <c r="DB20" s="5" t="b">
        <v>0</v>
      </c>
      <c r="DC20" s="5" t="b">
        <v>0</v>
      </c>
      <c r="DD20" s="5" t="b">
        <v>0</v>
      </c>
      <c r="DE20" s="5" t="b">
        <v>0</v>
      </c>
      <c r="DF20" s="5" t="b">
        <v>0</v>
      </c>
      <c r="DG20" s="5" t="b">
        <v>0</v>
      </c>
      <c r="DH20" s="5" t="b">
        <v>0</v>
      </c>
      <c r="DI20" s="5" t="b">
        <v>0</v>
      </c>
      <c r="DJ20" s="5" t="b">
        <v>1</v>
      </c>
      <c r="DK20" s="5" t="s">
        <v>298</v>
      </c>
      <c r="DL20" s="5">
        <v>2</v>
      </c>
      <c r="DM20" s="5" t="s">
        <v>30</v>
      </c>
      <c r="DN20" s="5">
        <v>3</v>
      </c>
      <c r="DO20" s="5" t="s">
        <v>63</v>
      </c>
      <c r="DP20" s="5">
        <v>2</v>
      </c>
      <c r="DQ20" s="5" t="s">
        <v>63</v>
      </c>
      <c r="DR20" s="5">
        <v>4</v>
      </c>
      <c r="DS20" s="5" t="s">
        <v>77</v>
      </c>
      <c r="DT20" s="5">
        <v>7</v>
      </c>
      <c r="DU20" s="5" t="s">
        <v>66</v>
      </c>
      <c r="DV20" s="5">
        <v>8</v>
      </c>
      <c r="DW20" s="5" t="s">
        <v>81</v>
      </c>
      <c r="DX20" s="5">
        <v>2</v>
      </c>
      <c r="DY20" s="5" t="s">
        <v>84</v>
      </c>
      <c r="DZ20" s="5">
        <v>3</v>
      </c>
      <c r="EA20" s="5" t="s">
        <v>90</v>
      </c>
      <c r="EB20" s="5">
        <v>3</v>
      </c>
      <c r="EC20" s="5" t="s">
        <v>93</v>
      </c>
      <c r="ED20" s="5" t="b">
        <v>1</v>
      </c>
      <c r="EE20" s="5" t="b">
        <v>0</v>
      </c>
      <c r="EF20" s="5" t="b">
        <v>0</v>
      </c>
      <c r="EG20" s="5" t="b">
        <v>1</v>
      </c>
      <c r="EH20" s="5">
        <v>2</v>
      </c>
      <c r="EI20" s="5">
        <v>3</v>
      </c>
      <c r="EJ20" s="5" t="s">
        <v>139</v>
      </c>
    </row>
    <row r="21" spans="1:140" x14ac:dyDescent="0.25">
      <c r="A21" s="5">
        <v>20</v>
      </c>
      <c r="B21" s="11">
        <v>45032</v>
      </c>
      <c r="C21" s="12">
        <v>0.54513888888888895</v>
      </c>
      <c r="D21" s="12" t="str">
        <f t="shared" si="0"/>
        <v>20   04/16/2023   13:05</v>
      </c>
      <c r="E21" s="5">
        <v>2</v>
      </c>
      <c r="F21" s="5" t="s">
        <v>1</v>
      </c>
      <c r="G21" s="5">
        <v>50</v>
      </c>
      <c r="H21" s="5">
        <v>2</v>
      </c>
      <c r="I21" s="5" t="s">
        <v>2</v>
      </c>
      <c r="J21" s="5">
        <v>6</v>
      </c>
      <c r="K21" s="5" t="s">
        <v>15</v>
      </c>
      <c r="L21" s="5" t="b">
        <v>1</v>
      </c>
      <c r="M21" s="5" t="b">
        <v>0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1</v>
      </c>
      <c r="T21" s="5" t="b">
        <v>0</v>
      </c>
      <c r="U21" s="5" t="b">
        <v>0</v>
      </c>
      <c r="V21" s="5" t="b">
        <v>0</v>
      </c>
      <c r="W21" s="5" t="b">
        <v>0</v>
      </c>
      <c r="X21" s="5" t="b">
        <v>0</v>
      </c>
      <c r="Y21" s="5" t="b">
        <v>0</v>
      </c>
      <c r="Z21" s="5" t="b">
        <v>1</v>
      </c>
      <c r="AA21" s="5" t="b">
        <v>0</v>
      </c>
      <c r="AB21" s="5" t="b">
        <v>0</v>
      </c>
      <c r="AC21" s="5" t="b">
        <v>0</v>
      </c>
      <c r="AD21" s="5" t="b">
        <v>0</v>
      </c>
      <c r="AE21" s="5" t="b">
        <v>0</v>
      </c>
      <c r="AF21" s="5" t="b">
        <v>0</v>
      </c>
      <c r="AG21" s="5" t="b">
        <v>0</v>
      </c>
      <c r="AH21" s="5" t="b">
        <v>0</v>
      </c>
      <c r="AI21" s="5" t="b">
        <v>0</v>
      </c>
      <c r="AJ21" s="5" t="b">
        <v>1</v>
      </c>
      <c r="AK21" s="5" t="b">
        <v>0</v>
      </c>
      <c r="AL21" s="5" t="b">
        <v>1</v>
      </c>
      <c r="AM21" s="5">
        <v>2</v>
      </c>
      <c r="AN21" s="5" t="s">
        <v>30</v>
      </c>
      <c r="AO21" s="5" t="s">
        <v>292</v>
      </c>
      <c r="AP21" s="5" t="s">
        <v>293</v>
      </c>
      <c r="AQ21" s="5">
        <v>2</v>
      </c>
      <c r="AR21" s="5" t="s">
        <v>130</v>
      </c>
      <c r="AS21" s="5">
        <v>2</v>
      </c>
      <c r="AT21" s="5" t="s">
        <v>63</v>
      </c>
      <c r="AU21" s="5">
        <v>5</v>
      </c>
      <c r="AV21" s="5" t="s">
        <v>70</v>
      </c>
      <c r="AW21" s="5">
        <v>2</v>
      </c>
      <c r="AX21" s="5" t="s">
        <v>72</v>
      </c>
      <c r="AY21" s="5">
        <v>12</v>
      </c>
      <c r="AZ21" s="5" t="s">
        <v>80</v>
      </c>
      <c r="BA21" s="5">
        <v>2</v>
      </c>
      <c r="BB21" s="5" t="s">
        <v>84</v>
      </c>
      <c r="BC21" s="5">
        <v>3</v>
      </c>
      <c r="BD21" s="5" t="s">
        <v>90</v>
      </c>
      <c r="BE21" s="5">
        <v>2</v>
      </c>
      <c r="BF21" s="5" t="s">
        <v>92</v>
      </c>
      <c r="BG21" s="5" t="b">
        <v>1</v>
      </c>
      <c r="BH21" s="5" t="b">
        <v>0</v>
      </c>
      <c r="BI21" s="5" t="b">
        <v>1</v>
      </c>
      <c r="BJ21" s="5" t="b">
        <v>1</v>
      </c>
      <c r="BK21" s="5">
        <v>3</v>
      </c>
      <c r="BL21" s="5">
        <v>2</v>
      </c>
      <c r="BM21" s="5" t="s">
        <v>95</v>
      </c>
      <c r="BN21" s="5" t="s">
        <v>294</v>
      </c>
      <c r="BO21" s="5">
        <v>2</v>
      </c>
      <c r="BP21" s="5" t="s">
        <v>101</v>
      </c>
      <c r="BQ21" s="5" t="s">
        <v>295</v>
      </c>
      <c r="BR21" s="5">
        <v>2</v>
      </c>
      <c r="BS21" s="5" t="s">
        <v>105</v>
      </c>
      <c r="BT21" s="5">
        <v>2</v>
      </c>
      <c r="BU21" s="5" t="s">
        <v>111</v>
      </c>
      <c r="BV21" s="5">
        <v>2</v>
      </c>
      <c r="BW21" s="5" t="s">
        <v>116</v>
      </c>
      <c r="BX21" s="5">
        <v>2</v>
      </c>
      <c r="BY21" s="5" t="s">
        <v>122</v>
      </c>
      <c r="BZ21" s="5" t="b">
        <v>1</v>
      </c>
      <c r="CA21" s="5" t="b">
        <v>1</v>
      </c>
      <c r="CB21" s="5" t="b">
        <v>1</v>
      </c>
      <c r="CC21" s="5" t="b">
        <v>1</v>
      </c>
      <c r="CD21" s="5" t="b">
        <v>1</v>
      </c>
      <c r="CE21" s="5">
        <v>5</v>
      </c>
      <c r="CF21" s="5">
        <v>6</v>
      </c>
      <c r="CG21" s="5">
        <v>9</v>
      </c>
      <c r="CH21" s="5" t="s">
        <v>296</v>
      </c>
      <c r="CI21" s="5" t="s">
        <v>297</v>
      </c>
      <c r="CJ21" s="5" t="b">
        <v>1</v>
      </c>
      <c r="CK21" s="5" t="b">
        <v>0</v>
      </c>
      <c r="CL21" s="5" t="b">
        <v>0</v>
      </c>
      <c r="CM21" s="5" t="b">
        <v>1</v>
      </c>
      <c r="CN21" s="5" t="b">
        <v>0</v>
      </c>
      <c r="CO21" s="5" t="b">
        <v>0</v>
      </c>
      <c r="CP21" s="5" t="b">
        <v>0</v>
      </c>
      <c r="CQ21" s="5" t="b">
        <v>0</v>
      </c>
      <c r="CR21" s="5" t="b">
        <v>0</v>
      </c>
      <c r="CS21" s="5" t="b">
        <v>0</v>
      </c>
      <c r="CT21" s="5" t="b">
        <v>0</v>
      </c>
      <c r="CU21" s="5" t="b">
        <v>0</v>
      </c>
      <c r="CV21" s="5" t="b">
        <v>0</v>
      </c>
      <c r="CW21" s="5" t="b">
        <v>1</v>
      </c>
      <c r="CX21" s="5" t="b">
        <v>0</v>
      </c>
      <c r="CY21" s="5" t="b">
        <v>0</v>
      </c>
      <c r="CZ21" s="5" t="b">
        <v>0</v>
      </c>
      <c r="DA21" s="5" t="b">
        <v>0</v>
      </c>
      <c r="DB21" s="5" t="b">
        <v>0</v>
      </c>
      <c r="DC21" s="5" t="b">
        <v>0</v>
      </c>
      <c r="DD21" s="5" t="b">
        <v>0</v>
      </c>
      <c r="DE21" s="5" t="b">
        <v>0</v>
      </c>
      <c r="DF21" s="5" t="b">
        <v>0</v>
      </c>
      <c r="DG21" s="5" t="b">
        <v>0</v>
      </c>
      <c r="DH21" s="5" t="b">
        <v>0</v>
      </c>
      <c r="DI21" s="5" t="b">
        <v>0</v>
      </c>
      <c r="DJ21" s="5" t="b">
        <v>1</v>
      </c>
      <c r="DK21" s="5" t="s">
        <v>298</v>
      </c>
      <c r="DL21" s="5">
        <v>2</v>
      </c>
      <c r="DM21" s="5" t="s">
        <v>30</v>
      </c>
      <c r="DN21" s="5">
        <v>3</v>
      </c>
      <c r="DO21" s="5" t="s">
        <v>63</v>
      </c>
      <c r="DP21" s="5">
        <v>2</v>
      </c>
      <c r="DQ21" s="5" t="s">
        <v>63</v>
      </c>
      <c r="DR21" s="5">
        <v>4</v>
      </c>
      <c r="DS21" s="5" t="s">
        <v>77</v>
      </c>
      <c r="DT21" s="5">
        <v>7</v>
      </c>
      <c r="DU21" s="5" t="s">
        <v>66</v>
      </c>
      <c r="DV21" s="5">
        <v>8</v>
      </c>
      <c r="DW21" s="5" t="s">
        <v>81</v>
      </c>
      <c r="DX21" s="5">
        <v>2</v>
      </c>
      <c r="DY21" s="5" t="s">
        <v>84</v>
      </c>
      <c r="DZ21" s="5">
        <v>3</v>
      </c>
      <c r="EA21" s="5" t="s">
        <v>90</v>
      </c>
      <c r="EB21" s="5">
        <v>3</v>
      </c>
      <c r="EC21" s="5" t="s">
        <v>93</v>
      </c>
      <c r="ED21" s="5" t="b">
        <v>1</v>
      </c>
      <c r="EE21" s="5" t="b">
        <v>0</v>
      </c>
      <c r="EF21" s="5" t="b">
        <v>0</v>
      </c>
      <c r="EG21" s="5" t="b">
        <v>1</v>
      </c>
      <c r="EH21" s="5">
        <v>2</v>
      </c>
      <c r="EI21" s="5">
        <v>3</v>
      </c>
      <c r="EJ21" s="5" t="s">
        <v>139</v>
      </c>
    </row>
    <row r="22" spans="1:140" x14ac:dyDescent="0.25">
      <c r="A22" s="5">
        <v>21</v>
      </c>
      <c r="B22" s="11">
        <v>45032</v>
      </c>
      <c r="C22" s="12">
        <v>0.54513888888888895</v>
      </c>
      <c r="D22" s="12" t="str">
        <f t="shared" si="0"/>
        <v>21   04/16/2023   13:05</v>
      </c>
      <c r="E22" s="5">
        <v>2</v>
      </c>
      <c r="F22" s="5" t="s">
        <v>1</v>
      </c>
      <c r="G22" s="5">
        <v>50</v>
      </c>
      <c r="H22" s="5">
        <v>2</v>
      </c>
      <c r="I22" s="5" t="s">
        <v>2</v>
      </c>
      <c r="J22" s="5">
        <v>6</v>
      </c>
      <c r="K22" s="5" t="s">
        <v>15</v>
      </c>
      <c r="L22" s="5" t="b">
        <v>1</v>
      </c>
      <c r="M22" s="5" t="b">
        <v>0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1</v>
      </c>
      <c r="T22" s="5" t="b">
        <v>0</v>
      </c>
      <c r="U22" s="5" t="b">
        <v>0</v>
      </c>
      <c r="V22" s="5" t="b">
        <v>0</v>
      </c>
      <c r="W22" s="5" t="b">
        <v>0</v>
      </c>
      <c r="X22" s="5" t="b">
        <v>0</v>
      </c>
      <c r="Y22" s="5" t="b">
        <v>0</v>
      </c>
      <c r="Z22" s="5" t="b">
        <v>1</v>
      </c>
      <c r="AA22" s="5" t="b">
        <v>0</v>
      </c>
      <c r="AB22" s="5" t="b">
        <v>0</v>
      </c>
      <c r="AC22" s="5" t="b">
        <v>0</v>
      </c>
      <c r="AD22" s="5" t="b">
        <v>0</v>
      </c>
      <c r="AE22" s="5" t="b">
        <v>0</v>
      </c>
      <c r="AF22" s="5" t="b">
        <v>0</v>
      </c>
      <c r="AG22" s="5" t="b">
        <v>0</v>
      </c>
      <c r="AH22" s="5" t="b">
        <v>0</v>
      </c>
      <c r="AI22" s="5" t="b">
        <v>0</v>
      </c>
      <c r="AJ22" s="5" t="b">
        <v>1</v>
      </c>
      <c r="AK22" s="5" t="b">
        <v>0</v>
      </c>
      <c r="AL22" s="5" t="b">
        <v>1</v>
      </c>
      <c r="AM22" s="5">
        <v>2</v>
      </c>
      <c r="AN22" s="5" t="s">
        <v>30</v>
      </c>
      <c r="AO22" s="5" t="s">
        <v>292</v>
      </c>
      <c r="AP22" s="5" t="s">
        <v>293</v>
      </c>
      <c r="AQ22" s="5">
        <v>2</v>
      </c>
      <c r="AR22" s="5" t="s">
        <v>130</v>
      </c>
      <c r="AS22" s="5">
        <v>2</v>
      </c>
      <c r="AT22" s="5" t="s">
        <v>63</v>
      </c>
      <c r="AU22" s="5">
        <v>5</v>
      </c>
      <c r="AV22" s="5" t="s">
        <v>70</v>
      </c>
      <c r="AW22" s="5">
        <v>2</v>
      </c>
      <c r="AX22" s="5" t="s">
        <v>72</v>
      </c>
      <c r="AY22" s="5">
        <v>12</v>
      </c>
      <c r="AZ22" s="5" t="s">
        <v>80</v>
      </c>
      <c r="BA22" s="5">
        <v>2</v>
      </c>
      <c r="BB22" s="5" t="s">
        <v>84</v>
      </c>
      <c r="BC22" s="5">
        <v>3</v>
      </c>
      <c r="BD22" s="5" t="s">
        <v>90</v>
      </c>
      <c r="BE22" s="5">
        <v>2</v>
      </c>
      <c r="BF22" s="5" t="s">
        <v>92</v>
      </c>
      <c r="BG22" s="5" t="b">
        <v>1</v>
      </c>
      <c r="BH22" s="5" t="b">
        <v>0</v>
      </c>
      <c r="BI22" s="5" t="b">
        <v>1</v>
      </c>
      <c r="BJ22" s="5" t="b">
        <v>1</v>
      </c>
      <c r="BK22" s="5">
        <v>3</v>
      </c>
      <c r="BL22" s="5">
        <v>2</v>
      </c>
      <c r="BM22" s="5" t="s">
        <v>95</v>
      </c>
      <c r="BN22" s="5" t="s">
        <v>294</v>
      </c>
      <c r="BO22" s="5">
        <v>2</v>
      </c>
      <c r="BP22" s="5" t="s">
        <v>101</v>
      </c>
      <c r="BQ22" s="5" t="s">
        <v>295</v>
      </c>
      <c r="BR22" s="5">
        <v>2</v>
      </c>
      <c r="BS22" s="5" t="s">
        <v>105</v>
      </c>
      <c r="BT22" s="5">
        <v>2</v>
      </c>
      <c r="BU22" s="5" t="s">
        <v>111</v>
      </c>
      <c r="BV22" s="5">
        <v>2</v>
      </c>
      <c r="BW22" s="5" t="s">
        <v>116</v>
      </c>
      <c r="BX22" s="5">
        <v>2</v>
      </c>
      <c r="BY22" s="5" t="s">
        <v>122</v>
      </c>
      <c r="BZ22" s="5" t="b">
        <v>1</v>
      </c>
      <c r="CA22" s="5" t="b">
        <v>1</v>
      </c>
      <c r="CB22" s="5" t="b">
        <v>1</v>
      </c>
      <c r="CC22" s="5" t="b">
        <v>1</v>
      </c>
      <c r="CD22" s="5" t="b">
        <v>1</v>
      </c>
      <c r="CE22" s="5">
        <v>5</v>
      </c>
      <c r="CF22" s="5">
        <v>6</v>
      </c>
      <c r="CG22" s="5">
        <v>9</v>
      </c>
      <c r="CH22" s="5" t="s">
        <v>296</v>
      </c>
      <c r="CI22" s="5" t="s">
        <v>297</v>
      </c>
      <c r="CJ22" s="5" t="b">
        <v>1</v>
      </c>
      <c r="CK22" s="5" t="b">
        <v>0</v>
      </c>
      <c r="CL22" s="5" t="b">
        <v>0</v>
      </c>
      <c r="CM22" s="5" t="b">
        <v>1</v>
      </c>
      <c r="CN22" s="5" t="b">
        <v>0</v>
      </c>
      <c r="CO22" s="5" t="b">
        <v>0</v>
      </c>
      <c r="CP22" s="5" t="b">
        <v>0</v>
      </c>
      <c r="CQ22" s="5" t="b">
        <v>0</v>
      </c>
      <c r="CR22" s="5" t="b">
        <v>0</v>
      </c>
      <c r="CS22" s="5" t="b">
        <v>0</v>
      </c>
      <c r="CT22" s="5" t="b">
        <v>0</v>
      </c>
      <c r="CU22" s="5" t="b">
        <v>0</v>
      </c>
      <c r="CV22" s="5" t="b">
        <v>0</v>
      </c>
      <c r="CW22" s="5" t="b">
        <v>1</v>
      </c>
      <c r="CX22" s="5" t="b">
        <v>0</v>
      </c>
      <c r="CY22" s="5" t="b">
        <v>0</v>
      </c>
      <c r="CZ22" s="5" t="b">
        <v>0</v>
      </c>
      <c r="DA22" s="5" t="b">
        <v>0</v>
      </c>
      <c r="DB22" s="5" t="b">
        <v>0</v>
      </c>
      <c r="DC22" s="5" t="b">
        <v>0</v>
      </c>
      <c r="DD22" s="5" t="b">
        <v>0</v>
      </c>
      <c r="DE22" s="5" t="b">
        <v>0</v>
      </c>
      <c r="DF22" s="5" t="b">
        <v>0</v>
      </c>
      <c r="DG22" s="5" t="b">
        <v>0</v>
      </c>
      <c r="DH22" s="5" t="b">
        <v>0</v>
      </c>
      <c r="DI22" s="5" t="b">
        <v>0</v>
      </c>
      <c r="DJ22" s="5" t="b">
        <v>1</v>
      </c>
      <c r="DK22" s="5" t="s">
        <v>298</v>
      </c>
      <c r="DL22" s="5">
        <v>2</v>
      </c>
      <c r="DM22" s="5" t="s">
        <v>30</v>
      </c>
      <c r="DN22" s="5">
        <v>3</v>
      </c>
      <c r="DO22" s="5" t="s">
        <v>63</v>
      </c>
      <c r="DP22" s="5">
        <v>2</v>
      </c>
      <c r="DQ22" s="5" t="s">
        <v>63</v>
      </c>
      <c r="DR22" s="5">
        <v>4</v>
      </c>
      <c r="DS22" s="5" t="s">
        <v>77</v>
      </c>
      <c r="DT22" s="5">
        <v>7</v>
      </c>
      <c r="DU22" s="5" t="s">
        <v>66</v>
      </c>
      <c r="DV22" s="5">
        <v>8</v>
      </c>
      <c r="DW22" s="5" t="s">
        <v>81</v>
      </c>
      <c r="DX22" s="5">
        <v>2</v>
      </c>
      <c r="DY22" s="5" t="s">
        <v>84</v>
      </c>
      <c r="DZ22" s="5">
        <v>3</v>
      </c>
      <c r="EA22" s="5" t="s">
        <v>90</v>
      </c>
      <c r="EB22" s="5">
        <v>3</v>
      </c>
      <c r="EC22" s="5" t="s">
        <v>93</v>
      </c>
      <c r="ED22" s="5" t="b">
        <v>1</v>
      </c>
      <c r="EE22" s="5" t="b">
        <v>0</v>
      </c>
      <c r="EF22" s="5" t="b">
        <v>0</v>
      </c>
      <c r="EG22" s="5" t="b">
        <v>1</v>
      </c>
      <c r="EH22" s="5">
        <v>2</v>
      </c>
      <c r="EI22" s="5">
        <v>3</v>
      </c>
      <c r="EJ22" s="5" t="s">
        <v>139</v>
      </c>
    </row>
    <row r="23" spans="1:140" x14ac:dyDescent="0.25">
      <c r="A23" s="5">
        <v>22</v>
      </c>
      <c r="B23" s="11">
        <v>45032</v>
      </c>
      <c r="C23" s="12">
        <v>0.54513888888888895</v>
      </c>
      <c r="D23" s="12" t="str">
        <f t="shared" si="0"/>
        <v>22   04/16/2023   13:05</v>
      </c>
      <c r="E23" s="5">
        <v>2</v>
      </c>
      <c r="F23" s="5" t="s">
        <v>1</v>
      </c>
      <c r="G23" s="5">
        <v>50</v>
      </c>
      <c r="H23" s="5">
        <v>2</v>
      </c>
      <c r="I23" s="5" t="s">
        <v>2</v>
      </c>
      <c r="J23" s="5">
        <v>6</v>
      </c>
      <c r="K23" s="5" t="s">
        <v>15</v>
      </c>
      <c r="L23" s="5" t="b">
        <v>1</v>
      </c>
      <c r="M23" s="5" t="b">
        <v>0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1</v>
      </c>
      <c r="T23" s="5" t="b">
        <v>0</v>
      </c>
      <c r="U23" s="5" t="b">
        <v>0</v>
      </c>
      <c r="V23" s="5" t="b">
        <v>0</v>
      </c>
      <c r="W23" s="5" t="b">
        <v>0</v>
      </c>
      <c r="X23" s="5" t="b">
        <v>0</v>
      </c>
      <c r="Y23" s="5" t="b">
        <v>0</v>
      </c>
      <c r="Z23" s="5" t="b">
        <v>1</v>
      </c>
      <c r="AA23" s="5" t="b">
        <v>0</v>
      </c>
      <c r="AB23" s="5" t="b">
        <v>0</v>
      </c>
      <c r="AC23" s="5" t="b">
        <v>0</v>
      </c>
      <c r="AD23" s="5" t="b">
        <v>0</v>
      </c>
      <c r="AE23" s="5" t="b">
        <v>0</v>
      </c>
      <c r="AF23" s="5" t="b">
        <v>0</v>
      </c>
      <c r="AG23" s="5" t="b">
        <v>0</v>
      </c>
      <c r="AH23" s="5" t="b">
        <v>0</v>
      </c>
      <c r="AI23" s="5" t="b">
        <v>0</v>
      </c>
      <c r="AJ23" s="5" t="b">
        <v>1</v>
      </c>
      <c r="AK23" s="5" t="b">
        <v>0</v>
      </c>
      <c r="AL23" s="5" t="b">
        <v>1</v>
      </c>
      <c r="AM23" s="5">
        <v>2</v>
      </c>
      <c r="AN23" s="5" t="s">
        <v>30</v>
      </c>
      <c r="AO23" s="5" t="s">
        <v>292</v>
      </c>
      <c r="AP23" s="5" t="s">
        <v>293</v>
      </c>
      <c r="AQ23" s="5">
        <v>2</v>
      </c>
      <c r="AR23" s="5" t="s">
        <v>130</v>
      </c>
      <c r="AS23" s="5">
        <v>2</v>
      </c>
      <c r="AT23" s="5" t="s">
        <v>63</v>
      </c>
      <c r="AU23" s="5">
        <v>5</v>
      </c>
      <c r="AV23" s="5" t="s">
        <v>70</v>
      </c>
      <c r="AW23" s="5">
        <v>2</v>
      </c>
      <c r="AX23" s="5" t="s">
        <v>72</v>
      </c>
      <c r="AY23" s="5">
        <v>12</v>
      </c>
      <c r="AZ23" s="5" t="s">
        <v>80</v>
      </c>
      <c r="BA23" s="5">
        <v>2</v>
      </c>
      <c r="BB23" s="5" t="s">
        <v>84</v>
      </c>
      <c r="BC23" s="5">
        <v>3</v>
      </c>
      <c r="BD23" s="5" t="s">
        <v>90</v>
      </c>
      <c r="BE23" s="5">
        <v>2</v>
      </c>
      <c r="BF23" s="5" t="s">
        <v>92</v>
      </c>
      <c r="BG23" s="5" t="b">
        <v>1</v>
      </c>
      <c r="BH23" s="5" t="b">
        <v>0</v>
      </c>
      <c r="BI23" s="5" t="b">
        <v>1</v>
      </c>
      <c r="BJ23" s="5" t="b">
        <v>1</v>
      </c>
      <c r="BK23" s="5">
        <v>3</v>
      </c>
      <c r="BL23" s="5">
        <v>2</v>
      </c>
      <c r="BM23" s="5" t="s">
        <v>95</v>
      </c>
      <c r="BN23" s="5" t="s">
        <v>294</v>
      </c>
      <c r="BO23" s="5">
        <v>2</v>
      </c>
      <c r="BP23" s="5" t="s">
        <v>101</v>
      </c>
      <c r="BQ23" s="5" t="s">
        <v>295</v>
      </c>
      <c r="BR23" s="5">
        <v>2</v>
      </c>
      <c r="BS23" s="5" t="s">
        <v>105</v>
      </c>
      <c r="BT23" s="5">
        <v>2</v>
      </c>
      <c r="BU23" s="5" t="s">
        <v>111</v>
      </c>
      <c r="BV23" s="5">
        <v>2</v>
      </c>
      <c r="BW23" s="5" t="s">
        <v>116</v>
      </c>
      <c r="BX23" s="5">
        <v>2</v>
      </c>
      <c r="BY23" s="5" t="s">
        <v>122</v>
      </c>
      <c r="BZ23" s="5" t="b">
        <v>1</v>
      </c>
      <c r="CA23" s="5" t="b">
        <v>1</v>
      </c>
      <c r="CB23" s="5" t="b">
        <v>1</v>
      </c>
      <c r="CC23" s="5" t="b">
        <v>1</v>
      </c>
      <c r="CD23" s="5" t="b">
        <v>1</v>
      </c>
      <c r="CE23" s="5">
        <v>5</v>
      </c>
      <c r="CF23" s="5">
        <v>6</v>
      </c>
      <c r="CG23" s="5">
        <v>9</v>
      </c>
      <c r="CH23" s="5" t="s">
        <v>296</v>
      </c>
      <c r="CI23" s="5" t="s">
        <v>297</v>
      </c>
      <c r="CJ23" s="5" t="b">
        <v>1</v>
      </c>
      <c r="CK23" s="5" t="b">
        <v>0</v>
      </c>
      <c r="CL23" s="5" t="b">
        <v>0</v>
      </c>
      <c r="CM23" s="5" t="b">
        <v>1</v>
      </c>
      <c r="CN23" s="5" t="b">
        <v>0</v>
      </c>
      <c r="CO23" s="5" t="b">
        <v>0</v>
      </c>
      <c r="CP23" s="5" t="b">
        <v>0</v>
      </c>
      <c r="CQ23" s="5" t="b">
        <v>0</v>
      </c>
      <c r="CR23" s="5" t="b">
        <v>0</v>
      </c>
      <c r="CS23" s="5" t="b">
        <v>0</v>
      </c>
      <c r="CT23" s="5" t="b">
        <v>0</v>
      </c>
      <c r="CU23" s="5" t="b">
        <v>0</v>
      </c>
      <c r="CV23" s="5" t="b">
        <v>0</v>
      </c>
      <c r="CW23" s="5" t="b">
        <v>1</v>
      </c>
      <c r="CX23" s="5" t="b">
        <v>0</v>
      </c>
      <c r="CY23" s="5" t="b">
        <v>0</v>
      </c>
      <c r="CZ23" s="5" t="b">
        <v>0</v>
      </c>
      <c r="DA23" s="5" t="b">
        <v>0</v>
      </c>
      <c r="DB23" s="5" t="b">
        <v>0</v>
      </c>
      <c r="DC23" s="5" t="b">
        <v>0</v>
      </c>
      <c r="DD23" s="5" t="b">
        <v>0</v>
      </c>
      <c r="DE23" s="5" t="b">
        <v>0</v>
      </c>
      <c r="DF23" s="5" t="b">
        <v>0</v>
      </c>
      <c r="DG23" s="5" t="b">
        <v>0</v>
      </c>
      <c r="DH23" s="5" t="b">
        <v>0</v>
      </c>
      <c r="DI23" s="5" t="b">
        <v>0</v>
      </c>
      <c r="DJ23" s="5" t="b">
        <v>1</v>
      </c>
      <c r="DK23" s="5" t="s">
        <v>298</v>
      </c>
      <c r="DL23" s="5">
        <v>2</v>
      </c>
      <c r="DM23" s="5" t="s">
        <v>30</v>
      </c>
      <c r="DN23" s="5">
        <v>3</v>
      </c>
      <c r="DO23" s="5" t="s">
        <v>63</v>
      </c>
      <c r="DP23" s="5">
        <v>2</v>
      </c>
      <c r="DQ23" s="5" t="s">
        <v>63</v>
      </c>
      <c r="DR23" s="5">
        <v>4</v>
      </c>
      <c r="DS23" s="5" t="s">
        <v>77</v>
      </c>
      <c r="DT23" s="5">
        <v>7</v>
      </c>
      <c r="DU23" s="5" t="s">
        <v>66</v>
      </c>
      <c r="DV23" s="5">
        <v>8</v>
      </c>
      <c r="DW23" s="5" t="s">
        <v>81</v>
      </c>
      <c r="DX23" s="5">
        <v>2</v>
      </c>
      <c r="DY23" s="5" t="s">
        <v>84</v>
      </c>
      <c r="DZ23" s="5">
        <v>3</v>
      </c>
      <c r="EA23" s="5" t="s">
        <v>90</v>
      </c>
      <c r="EB23" s="5">
        <v>3</v>
      </c>
      <c r="EC23" s="5" t="s">
        <v>93</v>
      </c>
      <c r="ED23" s="5" t="b">
        <v>1</v>
      </c>
      <c r="EE23" s="5" t="b">
        <v>0</v>
      </c>
      <c r="EF23" s="5" t="b">
        <v>0</v>
      </c>
      <c r="EG23" s="5" t="b">
        <v>1</v>
      </c>
      <c r="EH23" s="5">
        <v>2</v>
      </c>
      <c r="EI23" s="5">
        <v>3</v>
      </c>
      <c r="EJ23" s="5" t="s">
        <v>139</v>
      </c>
    </row>
    <row r="24" spans="1:140" x14ac:dyDescent="0.25">
      <c r="A24" s="5">
        <v>23</v>
      </c>
      <c r="B24" s="11">
        <v>45032</v>
      </c>
      <c r="C24" s="12">
        <v>0.54513888888888895</v>
      </c>
      <c r="D24" s="12" t="str">
        <f t="shared" si="0"/>
        <v>23   04/16/2023   13:05</v>
      </c>
      <c r="E24" s="5">
        <v>2</v>
      </c>
      <c r="F24" s="5" t="s">
        <v>1</v>
      </c>
      <c r="G24" s="5">
        <v>50</v>
      </c>
      <c r="H24" s="5">
        <v>2</v>
      </c>
      <c r="I24" s="5" t="s">
        <v>2</v>
      </c>
      <c r="J24" s="5">
        <v>6</v>
      </c>
      <c r="K24" s="5" t="s">
        <v>15</v>
      </c>
      <c r="L24" s="5" t="b">
        <v>1</v>
      </c>
      <c r="M24" s="5" t="b">
        <v>0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1</v>
      </c>
      <c r="T24" s="5" t="b">
        <v>0</v>
      </c>
      <c r="U24" s="5" t="b">
        <v>0</v>
      </c>
      <c r="V24" s="5" t="b">
        <v>0</v>
      </c>
      <c r="W24" s="5" t="b">
        <v>0</v>
      </c>
      <c r="X24" s="5" t="b">
        <v>0</v>
      </c>
      <c r="Y24" s="5" t="b">
        <v>0</v>
      </c>
      <c r="Z24" s="5" t="b">
        <v>1</v>
      </c>
      <c r="AA24" s="5" t="b">
        <v>0</v>
      </c>
      <c r="AB24" s="5" t="b">
        <v>0</v>
      </c>
      <c r="AC24" s="5" t="b">
        <v>0</v>
      </c>
      <c r="AD24" s="5" t="b">
        <v>0</v>
      </c>
      <c r="AE24" s="5" t="b">
        <v>0</v>
      </c>
      <c r="AF24" s="5" t="b">
        <v>0</v>
      </c>
      <c r="AG24" s="5" t="b">
        <v>0</v>
      </c>
      <c r="AH24" s="5" t="b">
        <v>0</v>
      </c>
      <c r="AI24" s="5" t="b">
        <v>0</v>
      </c>
      <c r="AJ24" s="5" t="b">
        <v>1</v>
      </c>
      <c r="AK24" s="5" t="b">
        <v>0</v>
      </c>
      <c r="AL24" s="5" t="b">
        <v>1</v>
      </c>
      <c r="AM24" s="5">
        <v>2</v>
      </c>
      <c r="AN24" s="5" t="s">
        <v>30</v>
      </c>
      <c r="AO24" s="5" t="s">
        <v>292</v>
      </c>
      <c r="AP24" s="5" t="s">
        <v>293</v>
      </c>
      <c r="AQ24" s="5">
        <v>2</v>
      </c>
      <c r="AR24" s="5" t="s">
        <v>130</v>
      </c>
      <c r="AS24" s="5">
        <v>2</v>
      </c>
      <c r="AT24" s="5" t="s">
        <v>63</v>
      </c>
      <c r="AU24" s="5">
        <v>5</v>
      </c>
      <c r="AV24" s="5" t="s">
        <v>70</v>
      </c>
      <c r="AW24" s="5">
        <v>2</v>
      </c>
      <c r="AX24" s="5" t="s">
        <v>72</v>
      </c>
      <c r="AY24" s="5">
        <v>12</v>
      </c>
      <c r="AZ24" s="5" t="s">
        <v>80</v>
      </c>
      <c r="BA24" s="5">
        <v>2</v>
      </c>
      <c r="BB24" s="5" t="s">
        <v>84</v>
      </c>
      <c r="BC24" s="5">
        <v>3</v>
      </c>
      <c r="BD24" s="5" t="s">
        <v>90</v>
      </c>
      <c r="BE24" s="5">
        <v>2</v>
      </c>
      <c r="BF24" s="5" t="s">
        <v>92</v>
      </c>
      <c r="BG24" s="5" t="b">
        <v>1</v>
      </c>
      <c r="BH24" s="5" t="b">
        <v>0</v>
      </c>
      <c r="BI24" s="5" t="b">
        <v>1</v>
      </c>
      <c r="BJ24" s="5" t="b">
        <v>1</v>
      </c>
      <c r="BK24" s="5">
        <v>3</v>
      </c>
      <c r="BL24" s="5">
        <v>2</v>
      </c>
      <c r="BM24" s="5" t="s">
        <v>95</v>
      </c>
      <c r="BN24" s="5" t="s">
        <v>294</v>
      </c>
      <c r="BO24" s="5">
        <v>2</v>
      </c>
      <c r="BP24" s="5" t="s">
        <v>101</v>
      </c>
      <c r="BQ24" s="5" t="s">
        <v>295</v>
      </c>
      <c r="BR24" s="5">
        <v>2</v>
      </c>
      <c r="BS24" s="5" t="s">
        <v>105</v>
      </c>
      <c r="BT24" s="5">
        <v>2</v>
      </c>
      <c r="BU24" s="5" t="s">
        <v>111</v>
      </c>
      <c r="BV24" s="5">
        <v>2</v>
      </c>
      <c r="BW24" s="5" t="s">
        <v>116</v>
      </c>
      <c r="BX24" s="5">
        <v>2</v>
      </c>
      <c r="BY24" s="5" t="s">
        <v>122</v>
      </c>
      <c r="BZ24" s="5" t="b">
        <v>1</v>
      </c>
      <c r="CA24" s="5" t="b">
        <v>1</v>
      </c>
      <c r="CB24" s="5" t="b">
        <v>1</v>
      </c>
      <c r="CC24" s="5" t="b">
        <v>1</v>
      </c>
      <c r="CD24" s="5" t="b">
        <v>1</v>
      </c>
      <c r="CE24" s="5">
        <v>5</v>
      </c>
      <c r="CF24" s="5">
        <v>6</v>
      </c>
      <c r="CG24" s="5">
        <v>9</v>
      </c>
      <c r="CH24" s="5" t="s">
        <v>296</v>
      </c>
      <c r="CI24" s="5" t="s">
        <v>297</v>
      </c>
      <c r="CJ24" s="5" t="b">
        <v>1</v>
      </c>
      <c r="CK24" s="5" t="b">
        <v>0</v>
      </c>
      <c r="CL24" s="5" t="b">
        <v>0</v>
      </c>
      <c r="CM24" s="5" t="b">
        <v>1</v>
      </c>
      <c r="CN24" s="5" t="b">
        <v>0</v>
      </c>
      <c r="CO24" s="5" t="b">
        <v>0</v>
      </c>
      <c r="CP24" s="5" t="b">
        <v>0</v>
      </c>
      <c r="CQ24" s="5" t="b">
        <v>0</v>
      </c>
      <c r="CR24" s="5" t="b">
        <v>0</v>
      </c>
      <c r="CS24" s="5" t="b">
        <v>0</v>
      </c>
      <c r="CT24" s="5" t="b">
        <v>0</v>
      </c>
      <c r="CU24" s="5" t="b">
        <v>0</v>
      </c>
      <c r="CV24" s="5" t="b">
        <v>0</v>
      </c>
      <c r="CW24" s="5" t="b">
        <v>1</v>
      </c>
      <c r="CX24" s="5" t="b">
        <v>0</v>
      </c>
      <c r="CY24" s="5" t="b">
        <v>0</v>
      </c>
      <c r="CZ24" s="5" t="b">
        <v>0</v>
      </c>
      <c r="DA24" s="5" t="b">
        <v>0</v>
      </c>
      <c r="DB24" s="5" t="b">
        <v>0</v>
      </c>
      <c r="DC24" s="5" t="b">
        <v>0</v>
      </c>
      <c r="DD24" s="5" t="b">
        <v>0</v>
      </c>
      <c r="DE24" s="5" t="b">
        <v>0</v>
      </c>
      <c r="DF24" s="5" t="b">
        <v>0</v>
      </c>
      <c r="DG24" s="5" t="b">
        <v>0</v>
      </c>
      <c r="DH24" s="5" t="b">
        <v>0</v>
      </c>
      <c r="DI24" s="5" t="b">
        <v>0</v>
      </c>
      <c r="DJ24" s="5" t="b">
        <v>1</v>
      </c>
      <c r="DK24" s="5" t="s">
        <v>298</v>
      </c>
      <c r="DL24" s="5">
        <v>2</v>
      </c>
      <c r="DM24" s="5" t="s">
        <v>30</v>
      </c>
      <c r="DN24" s="5">
        <v>3</v>
      </c>
      <c r="DO24" s="5" t="s">
        <v>63</v>
      </c>
      <c r="DP24" s="5">
        <v>2</v>
      </c>
      <c r="DQ24" s="5" t="s">
        <v>63</v>
      </c>
      <c r="DR24" s="5">
        <v>4</v>
      </c>
      <c r="DS24" s="5" t="s">
        <v>77</v>
      </c>
      <c r="DT24" s="5">
        <v>7</v>
      </c>
      <c r="DU24" s="5" t="s">
        <v>66</v>
      </c>
      <c r="DV24" s="5">
        <v>8</v>
      </c>
      <c r="DW24" s="5" t="s">
        <v>81</v>
      </c>
      <c r="DX24" s="5">
        <v>2</v>
      </c>
      <c r="DY24" s="5" t="s">
        <v>84</v>
      </c>
      <c r="DZ24" s="5">
        <v>3</v>
      </c>
      <c r="EA24" s="5" t="s">
        <v>90</v>
      </c>
      <c r="EB24" s="5">
        <v>3</v>
      </c>
      <c r="EC24" s="5" t="s">
        <v>93</v>
      </c>
      <c r="ED24" s="5" t="b">
        <v>1</v>
      </c>
      <c r="EE24" s="5" t="b">
        <v>0</v>
      </c>
      <c r="EF24" s="5" t="b">
        <v>0</v>
      </c>
      <c r="EG24" s="5" t="b">
        <v>1</v>
      </c>
      <c r="EH24" s="5">
        <v>2</v>
      </c>
      <c r="EI24" s="5">
        <v>3</v>
      </c>
      <c r="EJ24" s="5" t="s">
        <v>139</v>
      </c>
    </row>
    <row r="25" spans="1:140" x14ac:dyDescent="0.25">
      <c r="A25" s="5">
        <v>24</v>
      </c>
      <c r="B25" s="11">
        <v>45032</v>
      </c>
      <c r="C25" s="12">
        <v>0.54513888888888895</v>
      </c>
      <c r="D25" s="12" t="str">
        <f t="shared" si="0"/>
        <v>24   04/16/2023   13:05</v>
      </c>
      <c r="E25" s="5">
        <v>2</v>
      </c>
      <c r="F25" s="5" t="s">
        <v>1</v>
      </c>
      <c r="G25" s="5">
        <v>50</v>
      </c>
      <c r="H25" s="5">
        <v>2</v>
      </c>
      <c r="I25" s="5" t="s">
        <v>2</v>
      </c>
      <c r="J25" s="5">
        <v>6</v>
      </c>
      <c r="K25" s="5" t="s">
        <v>15</v>
      </c>
      <c r="L25" s="5" t="b">
        <v>1</v>
      </c>
      <c r="M25" s="5" t="b">
        <v>0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1</v>
      </c>
      <c r="T25" s="5" t="b">
        <v>0</v>
      </c>
      <c r="U25" s="5" t="b">
        <v>0</v>
      </c>
      <c r="V25" s="5" t="b">
        <v>0</v>
      </c>
      <c r="W25" s="5" t="b">
        <v>0</v>
      </c>
      <c r="X25" s="5" t="b">
        <v>0</v>
      </c>
      <c r="Y25" s="5" t="b">
        <v>0</v>
      </c>
      <c r="Z25" s="5" t="b">
        <v>1</v>
      </c>
      <c r="AA25" s="5" t="b">
        <v>0</v>
      </c>
      <c r="AB25" s="5" t="b">
        <v>0</v>
      </c>
      <c r="AC25" s="5" t="b">
        <v>0</v>
      </c>
      <c r="AD25" s="5" t="b">
        <v>0</v>
      </c>
      <c r="AE25" s="5" t="b">
        <v>0</v>
      </c>
      <c r="AF25" s="5" t="b">
        <v>0</v>
      </c>
      <c r="AG25" s="5" t="b">
        <v>0</v>
      </c>
      <c r="AH25" s="5" t="b">
        <v>0</v>
      </c>
      <c r="AI25" s="5" t="b">
        <v>0</v>
      </c>
      <c r="AJ25" s="5" t="b">
        <v>1</v>
      </c>
      <c r="AK25" s="5" t="b">
        <v>0</v>
      </c>
      <c r="AL25" s="5" t="b">
        <v>1</v>
      </c>
      <c r="AM25" s="5">
        <v>2</v>
      </c>
      <c r="AN25" s="5" t="s">
        <v>30</v>
      </c>
      <c r="AO25" s="5" t="s">
        <v>292</v>
      </c>
      <c r="AP25" s="5" t="s">
        <v>293</v>
      </c>
      <c r="AQ25" s="5">
        <v>2</v>
      </c>
      <c r="AR25" s="5" t="s">
        <v>130</v>
      </c>
      <c r="AS25" s="5">
        <v>2</v>
      </c>
      <c r="AT25" s="5" t="s">
        <v>63</v>
      </c>
      <c r="AU25" s="5">
        <v>5</v>
      </c>
      <c r="AV25" s="5" t="s">
        <v>70</v>
      </c>
      <c r="AW25" s="5">
        <v>2</v>
      </c>
      <c r="AX25" s="5" t="s">
        <v>72</v>
      </c>
      <c r="AY25" s="5">
        <v>12</v>
      </c>
      <c r="AZ25" s="5" t="s">
        <v>80</v>
      </c>
      <c r="BA25" s="5">
        <v>2</v>
      </c>
      <c r="BB25" s="5" t="s">
        <v>84</v>
      </c>
      <c r="BC25" s="5">
        <v>3</v>
      </c>
      <c r="BD25" s="5" t="s">
        <v>90</v>
      </c>
      <c r="BE25" s="5">
        <v>2</v>
      </c>
      <c r="BF25" s="5" t="s">
        <v>92</v>
      </c>
      <c r="BG25" s="5" t="b">
        <v>1</v>
      </c>
      <c r="BH25" s="5" t="b">
        <v>0</v>
      </c>
      <c r="BI25" s="5" t="b">
        <v>1</v>
      </c>
      <c r="BJ25" s="5" t="b">
        <v>1</v>
      </c>
      <c r="BK25" s="5">
        <v>3</v>
      </c>
      <c r="BL25" s="5">
        <v>2</v>
      </c>
      <c r="BM25" s="5" t="s">
        <v>95</v>
      </c>
      <c r="BN25" s="5" t="s">
        <v>294</v>
      </c>
      <c r="BO25" s="5">
        <v>2</v>
      </c>
      <c r="BP25" s="5" t="s">
        <v>101</v>
      </c>
      <c r="BQ25" s="5" t="s">
        <v>295</v>
      </c>
      <c r="BR25" s="5">
        <v>2</v>
      </c>
      <c r="BS25" s="5" t="s">
        <v>105</v>
      </c>
      <c r="BT25" s="5">
        <v>2</v>
      </c>
      <c r="BU25" s="5" t="s">
        <v>111</v>
      </c>
      <c r="BV25" s="5">
        <v>2</v>
      </c>
      <c r="BW25" s="5" t="s">
        <v>116</v>
      </c>
      <c r="BX25" s="5">
        <v>2</v>
      </c>
      <c r="BY25" s="5" t="s">
        <v>122</v>
      </c>
      <c r="BZ25" s="5" t="b">
        <v>1</v>
      </c>
      <c r="CA25" s="5" t="b">
        <v>1</v>
      </c>
      <c r="CB25" s="5" t="b">
        <v>1</v>
      </c>
      <c r="CC25" s="5" t="b">
        <v>1</v>
      </c>
      <c r="CD25" s="5" t="b">
        <v>1</v>
      </c>
      <c r="CE25" s="5">
        <v>5</v>
      </c>
      <c r="CF25" s="5">
        <v>6</v>
      </c>
      <c r="CG25" s="5">
        <v>9</v>
      </c>
      <c r="CH25" s="5" t="s">
        <v>296</v>
      </c>
      <c r="CI25" s="5" t="s">
        <v>297</v>
      </c>
      <c r="CJ25" s="5" t="b">
        <v>1</v>
      </c>
      <c r="CK25" s="5" t="b">
        <v>0</v>
      </c>
      <c r="CL25" s="5" t="b">
        <v>0</v>
      </c>
      <c r="CM25" s="5" t="b">
        <v>1</v>
      </c>
      <c r="CN25" s="5" t="b">
        <v>0</v>
      </c>
      <c r="CO25" s="5" t="b">
        <v>0</v>
      </c>
      <c r="CP25" s="5" t="b">
        <v>0</v>
      </c>
      <c r="CQ25" s="5" t="b">
        <v>0</v>
      </c>
      <c r="CR25" s="5" t="b">
        <v>0</v>
      </c>
      <c r="CS25" s="5" t="b">
        <v>0</v>
      </c>
      <c r="CT25" s="5" t="b">
        <v>0</v>
      </c>
      <c r="CU25" s="5" t="b">
        <v>0</v>
      </c>
      <c r="CV25" s="5" t="b">
        <v>0</v>
      </c>
      <c r="CW25" s="5" t="b">
        <v>1</v>
      </c>
      <c r="CX25" s="5" t="b">
        <v>0</v>
      </c>
      <c r="CY25" s="5" t="b">
        <v>0</v>
      </c>
      <c r="CZ25" s="5" t="b">
        <v>0</v>
      </c>
      <c r="DA25" s="5" t="b">
        <v>0</v>
      </c>
      <c r="DB25" s="5" t="b">
        <v>0</v>
      </c>
      <c r="DC25" s="5" t="b">
        <v>0</v>
      </c>
      <c r="DD25" s="5" t="b">
        <v>0</v>
      </c>
      <c r="DE25" s="5" t="b">
        <v>0</v>
      </c>
      <c r="DF25" s="5" t="b">
        <v>0</v>
      </c>
      <c r="DG25" s="5" t="b">
        <v>0</v>
      </c>
      <c r="DH25" s="5" t="b">
        <v>0</v>
      </c>
      <c r="DI25" s="5" t="b">
        <v>0</v>
      </c>
      <c r="DJ25" s="5" t="b">
        <v>1</v>
      </c>
      <c r="DK25" s="5" t="s">
        <v>298</v>
      </c>
      <c r="DL25" s="5">
        <v>2</v>
      </c>
      <c r="DM25" s="5" t="s">
        <v>30</v>
      </c>
      <c r="DN25" s="5">
        <v>3</v>
      </c>
      <c r="DO25" s="5" t="s">
        <v>63</v>
      </c>
      <c r="DP25" s="5">
        <v>2</v>
      </c>
      <c r="DQ25" s="5" t="s">
        <v>63</v>
      </c>
      <c r="DR25" s="5">
        <v>4</v>
      </c>
      <c r="DS25" s="5" t="s">
        <v>77</v>
      </c>
      <c r="DT25" s="5">
        <v>7</v>
      </c>
      <c r="DU25" s="5" t="s">
        <v>66</v>
      </c>
      <c r="DV25" s="5">
        <v>8</v>
      </c>
      <c r="DW25" s="5" t="s">
        <v>81</v>
      </c>
      <c r="DX25" s="5">
        <v>2</v>
      </c>
      <c r="DY25" s="5" t="s">
        <v>84</v>
      </c>
      <c r="DZ25" s="5">
        <v>3</v>
      </c>
      <c r="EA25" s="5" t="s">
        <v>90</v>
      </c>
      <c r="EB25" s="5">
        <v>3</v>
      </c>
      <c r="EC25" s="5" t="s">
        <v>93</v>
      </c>
      <c r="ED25" s="5" t="b">
        <v>1</v>
      </c>
      <c r="EE25" s="5" t="b">
        <v>0</v>
      </c>
      <c r="EF25" s="5" t="b">
        <v>0</v>
      </c>
      <c r="EG25" s="5" t="b">
        <v>1</v>
      </c>
      <c r="EH25" s="5">
        <v>2</v>
      </c>
      <c r="EI25" s="5">
        <v>3</v>
      </c>
      <c r="EJ25" s="5" t="s">
        <v>139</v>
      </c>
    </row>
    <row r="26" spans="1:140" x14ac:dyDescent="0.25">
      <c r="A26" s="5">
        <v>25</v>
      </c>
      <c r="B26" s="11">
        <v>45032</v>
      </c>
      <c r="C26" s="12">
        <v>0.54513888888888895</v>
      </c>
      <c r="D26" s="12" t="str">
        <f t="shared" si="0"/>
        <v>25   04/16/2023   13:05</v>
      </c>
      <c r="E26" s="5">
        <v>2</v>
      </c>
      <c r="F26" s="5" t="s">
        <v>1</v>
      </c>
      <c r="G26" s="5">
        <v>50</v>
      </c>
      <c r="H26" s="5">
        <v>2</v>
      </c>
      <c r="I26" s="5" t="s">
        <v>2</v>
      </c>
      <c r="J26" s="5">
        <v>6</v>
      </c>
      <c r="K26" s="5" t="s">
        <v>15</v>
      </c>
      <c r="L26" s="5" t="b">
        <v>1</v>
      </c>
      <c r="M26" s="5" t="b">
        <v>0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1</v>
      </c>
      <c r="T26" s="5" t="b">
        <v>0</v>
      </c>
      <c r="U26" s="5" t="b">
        <v>0</v>
      </c>
      <c r="V26" s="5" t="b">
        <v>0</v>
      </c>
      <c r="W26" s="5" t="b">
        <v>0</v>
      </c>
      <c r="X26" s="5" t="b">
        <v>0</v>
      </c>
      <c r="Y26" s="5" t="b">
        <v>0</v>
      </c>
      <c r="Z26" s="5" t="b">
        <v>1</v>
      </c>
      <c r="AA26" s="5" t="b">
        <v>0</v>
      </c>
      <c r="AB26" s="5" t="b">
        <v>0</v>
      </c>
      <c r="AC26" s="5" t="b">
        <v>0</v>
      </c>
      <c r="AD26" s="5" t="b">
        <v>0</v>
      </c>
      <c r="AE26" s="5" t="b">
        <v>0</v>
      </c>
      <c r="AF26" s="5" t="b">
        <v>0</v>
      </c>
      <c r="AG26" s="5" t="b">
        <v>0</v>
      </c>
      <c r="AH26" s="5" t="b">
        <v>0</v>
      </c>
      <c r="AI26" s="5" t="b">
        <v>0</v>
      </c>
      <c r="AJ26" s="5" t="b">
        <v>1</v>
      </c>
      <c r="AK26" s="5" t="b">
        <v>0</v>
      </c>
      <c r="AL26" s="5" t="b">
        <v>1</v>
      </c>
      <c r="AM26" s="5">
        <v>2</v>
      </c>
      <c r="AN26" s="5" t="s">
        <v>30</v>
      </c>
      <c r="AO26" s="5" t="s">
        <v>292</v>
      </c>
      <c r="AP26" s="5" t="s">
        <v>293</v>
      </c>
      <c r="AQ26" s="5">
        <v>2</v>
      </c>
      <c r="AR26" s="5" t="s">
        <v>130</v>
      </c>
      <c r="AS26" s="5">
        <v>2</v>
      </c>
      <c r="AT26" s="5" t="s">
        <v>63</v>
      </c>
      <c r="AU26" s="5">
        <v>5</v>
      </c>
      <c r="AV26" s="5" t="s">
        <v>70</v>
      </c>
      <c r="AW26" s="5">
        <v>2</v>
      </c>
      <c r="AX26" s="5" t="s">
        <v>72</v>
      </c>
      <c r="AY26" s="5">
        <v>12</v>
      </c>
      <c r="AZ26" s="5" t="s">
        <v>80</v>
      </c>
      <c r="BA26" s="5">
        <v>2</v>
      </c>
      <c r="BB26" s="5" t="s">
        <v>84</v>
      </c>
      <c r="BC26" s="5">
        <v>3</v>
      </c>
      <c r="BD26" s="5" t="s">
        <v>90</v>
      </c>
      <c r="BE26" s="5">
        <v>2</v>
      </c>
      <c r="BF26" s="5" t="s">
        <v>92</v>
      </c>
      <c r="BG26" s="5" t="b">
        <v>1</v>
      </c>
      <c r="BH26" s="5" t="b">
        <v>0</v>
      </c>
      <c r="BI26" s="5" t="b">
        <v>1</v>
      </c>
      <c r="BJ26" s="5" t="b">
        <v>1</v>
      </c>
      <c r="BK26" s="5">
        <v>3</v>
      </c>
      <c r="BL26" s="5">
        <v>2</v>
      </c>
      <c r="BM26" s="5" t="s">
        <v>95</v>
      </c>
      <c r="BN26" s="5" t="s">
        <v>294</v>
      </c>
      <c r="BO26" s="5">
        <v>2</v>
      </c>
      <c r="BP26" s="5" t="s">
        <v>101</v>
      </c>
      <c r="BQ26" s="5" t="s">
        <v>295</v>
      </c>
      <c r="BR26" s="5">
        <v>2</v>
      </c>
      <c r="BS26" s="5" t="s">
        <v>105</v>
      </c>
      <c r="BT26" s="5">
        <v>2</v>
      </c>
      <c r="BU26" s="5" t="s">
        <v>111</v>
      </c>
      <c r="BV26" s="5">
        <v>2</v>
      </c>
      <c r="BW26" s="5" t="s">
        <v>116</v>
      </c>
      <c r="BX26" s="5">
        <v>2</v>
      </c>
      <c r="BY26" s="5" t="s">
        <v>122</v>
      </c>
      <c r="BZ26" s="5" t="b">
        <v>1</v>
      </c>
      <c r="CA26" s="5" t="b">
        <v>1</v>
      </c>
      <c r="CB26" s="5" t="b">
        <v>1</v>
      </c>
      <c r="CC26" s="5" t="b">
        <v>1</v>
      </c>
      <c r="CD26" s="5" t="b">
        <v>1</v>
      </c>
      <c r="CE26" s="5">
        <v>5</v>
      </c>
      <c r="CF26" s="5">
        <v>6</v>
      </c>
      <c r="CG26" s="5">
        <v>9</v>
      </c>
      <c r="CH26" s="5" t="s">
        <v>296</v>
      </c>
      <c r="CI26" s="5" t="s">
        <v>297</v>
      </c>
      <c r="CJ26" s="5" t="b">
        <v>1</v>
      </c>
      <c r="CK26" s="5" t="b">
        <v>0</v>
      </c>
      <c r="CL26" s="5" t="b">
        <v>0</v>
      </c>
      <c r="CM26" s="5" t="b">
        <v>1</v>
      </c>
      <c r="CN26" s="5" t="b">
        <v>0</v>
      </c>
      <c r="CO26" s="5" t="b">
        <v>0</v>
      </c>
      <c r="CP26" s="5" t="b">
        <v>0</v>
      </c>
      <c r="CQ26" s="5" t="b">
        <v>0</v>
      </c>
      <c r="CR26" s="5" t="b">
        <v>0</v>
      </c>
      <c r="CS26" s="5" t="b">
        <v>0</v>
      </c>
      <c r="CT26" s="5" t="b">
        <v>0</v>
      </c>
      <c r="CU26" s="5" t="b">
        <v>0</v>
      </c>
      <c r="CV26" s="5" t="b">
        <v>0</v>
      </c>
      <c r="CW26" s="5" t="b">
        <v>1</v>
      </c>
      <c r="CX26" s="5" t="b">
        <v>0</v>
      </c>
      <c r="CY26" s="5" t="b">
        <v>0</v>
      </c>
      <c r="CZ26" s="5" t="b">
        <v>0</v>
      </c>
      <c r="DA26" s="5" t="b">
        <v>0</v>
      </c>
      <c r="DB26" s="5" t="b">
        <v>0</v>
      </c>
      <c r="DC26" s="5" t="b">
        <v>0</v>
      </c>
      <c r="DD26" s="5" t="b">
        <v>0</v>
      </c>
      <c r="DE26" s="5" t="b">
        <v>0</v>
      </c>
      <c r="DF26" s="5" t="b">
        <v>0</v>
      </c>
      <c r="DG26" s="5" t="b">
        <v>0</v>
      </c>
      <c r="DH26" s="5" t="b">
        <v>0</v>
      </c>
      <c r="DI26" s="5" t="b">
        <v>0</v>
      </c>
      <c r="DJ26" s="5" t="b">
        <v>1</v>
      </c>
      <c r="DK26" s="5" t="s">
        <v>298</v>
      </c>
      <c r="DL26" s="5">
        <v>2</v>
      </c>
      <c r="DM26" s="5" t="s">
        <v>30</v>
      </c>
      <c r="DN26" s="5">
        <v>3</v>
      </c>
      <c r="DO26" s="5" t="s">
        <v>63</v>
      </c>
      <c r="DP26" s="5">
        <v>2</v>
      </c>
      <c r="DQ26" s="5" t="s">
        <v>63</v>
      </c>
      <c r="DR26" s="5">
        <v>4</v>
      </c>
      <c r="DS26" s="5" t="s">
        <v>77</v>
      </c>
      <c r="DT26" s="5">
        <v>7</v>
      </c>
      <c r="DU26" s="5" t="s">
        <v>66</v>
      </c>
      <c r="DV26" s="5">
        <v>8</v>
      </c>
      <c r="DW26" s="5" t="s">
        <v>81</v>
      </c>
      <c r="DX26" s="5">
        <v>2</v>
      </c>
      <c r="DY26" s="5" t="s">
        <v>84</v>
      </c>
      <c r="DZ26" s="5">
        <v>3</v>
      </c>
      <c r="EA26" s="5" t="s">
        <v>90</v>
      </c>
      <c r="EB26" s="5">
        <v>3</v>
      </c>
      <c r="EC26" s="5" t="s">
        <v>93</v>
      </c>
      <c r="ED26" s="5" t="b">
        <v>1</v>
      </c>
      <c r="EE26" s="5" t="b">
        <v>0</v>
      </c>
      <c r="EF26" s="5" t="b">
        <v>0</v>
      </c>
      <c r="EG26" s="5" t="b">
        <v>1</v>
      </c>
      <c r="EH26" s="5">
        <v>2</v>
      </c>
      <c r="EI26" s="5">
        <v>3</v>
      </c>
      <c r="EJ26" s="5" t="s">
        <v>139</v>
      </c>
    </row>
    <row r="27" spans="1:140" x14ac:dyDescent="0.25">
      <c r="A27" s="5">
        <v>26</v>
      </c>
      <c r="B27" s="11">
        <v>45032</v>
      </c>
      <c r="C27" s="12">
        <v>0.54513888888888895</v>
      </c>
      <c r="D27" s="12" t="str">
        <f t="shared" si="0"/>
        <v>26   04/16/2023   13:05</v>
      </c>
      <c r="E27" s="5">
        <v>2</v>
      </c>
      <c r="F27" s="5" t="s">
        <v>1</v>
      </c>
      <c r="G27" s="5">
        <v>50</v>
      </c>
      <c r="H27" s="5">
        <v>2</v>
      </c>
      <c r="I27" s="5" t="s">
        <v>2</v>
      </c>
      <c r="J27" s="5">
        <v>6</v>
      </c>
      <c r="K27" s="5" t="s">
        <v>15</v>
      </c>
      <c r="L27" s="5" t="b">
        <v>1</v>
      </c>
      <c r="M27" s="5" t="b">
        <v>0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1</v>
      </c>
      <c r="T27" s="5" t="b">
        <v>0</v>
      </c>
      <c r="U27" s="5" t="b">
        <v>0</v>
      </c>
      <c r="V27" s="5" t="b">
        <v>0</v>
      </c>
      <c r="W27" s="5" t="b">
        <v>0</v>
      </c>
      <c r="X27" s="5" t="b">
        <v>0</v>
      </c>
      <c r="Y27" s="5" t="b">
        <v>0</v>
      </c>
      <c r="Z27" s="5" t="b">
        <v>1</v>
      </c>
      <c r="AA27" s="5" t="b">
        <v>0</v>
      </c>
      <c r="AB27" s="5" t="b">
        <v>0</v>
      </c>
      <c r="AC27" s="5" t="b">
        <v>0</v>
      </c>
      <c r="AD27" s="5" t="b">
        <v>0</v>
      </c>
      <c r="AE27" s="5" t="b">
        <v>0</v>
      </c>
      <c r="AF27" s="5" t="b">
        <v>0</v>
      </c>
      <c r="AG27" s="5" t="b">
        <v>0</v>
      </c>
      <c r="AH27" s="5" t="b">
        <v>0</v>
      </c>
      <c r="AI27" s="5" t="b">
        <v>0</v>
      </c>
      <c r="AJ27" s="5" t="b">
        <v>1</v>
      </c>
      <c r="AK27" s="5" t="b">
        <v>0</v>
      </c>
      <c r="AL27" s="5" t="b">
        <v>1</v>
      </c>
      <c r="AM27" s="5">
        <v>2</v>
      </c>
      <c r="AN27" s="5" t="s">
        <v>30</v>
      </c>
      <c r="AO27" s="5" t="s">
        <v>292</v>
      </c>
      <c r="AP27" s="5" t="s">
        <v>293</v>
      </c>
      <c r="AQ27" s="5">
        <v>2</v>
      </c>
      <c r="AR27" s="5" t="s">
        <v>130</v>
      </c>
      <c r="AS27" s="5">
        <v>2</v>
      </c>
      <c r="AT27" s="5" t="s">
        <v>63</v>
      </c>
      <c r="AU27" s="5">
        <v>5</v>
      </c>
      <c r="AV27" s="5" t="s">
        <v>70</v>
      </c>
      <c r="AW27" s="5">
        <v>2</v>
      </c>
      <c r="AX27" s="5" t="s">
        <v>72</v>
      </c>
      <c r="AY27" s="5">
        <v>12</v>
      </c>
      <c r="AZ27" s="5" t="s">
        <v>80</v>
      </c>
      <c r="BA27" s="5">
        <v>2</v>
      </c>
      <c r="BB27" s="5" t="s">
        <v>84</v>
      </c>
      <c r="BC27" s="5">
        <v>3</v>
      </c>
      <c r="BD27" s="5" t="s">
        <v>90</v>
      </c>
      <c r="BE27" s="5">
        <v>2</v>
      </c>
      <c r="BF27" s="5" t="s">
        <v>92</v>
      </c>
      <c r="BG27" s="5" t="b">
        <v>1</v>
      </c>
      <c r="BH27" s="5" t="b">
        <v>0</v>
      </c>
      <c r="BI27" s="5" t="b">
        <v>1</v>
      </c>
      <c r="BJ27" s="5" t="b">
        <v>1</v>
      </c>
      <c r="BK27" s="5">
        <v>3</v>
      </c>
      <c r="BL27" s="5">
        <v>2</v>
      </c>
      <c r="BM27" s="5" t="s">
        <v>95</v>
      </c>
      <c r="BN27" s="5" t="s">
        <v>294</v>
      </c>
      <c r="BO27" s="5">
        <v>2</v>
      </c>
      <c r="BP27" s="5" t="s">
        <v>101</v>
      </c>
      <c r="BQ27" s="5" t="s">
        <v>295</v>
      </c>
      <c r="BR27" s="5">
        <v>2</v>
      </c>
      <c r="BS27" s="5" t="s">
        <v>105</v>
      </c>
      <c r="BT27" s="5">
        <v>2</v>
      </c>
      <c r="BU27" s="5" t="s">
        <v>111</v>
      </c>
      <c r="BV27" s="5">
        <v>2</v>
      </c>
      <c r="BW27" s="5" t="s">
        <v>116</v>
      </c>
      <c r="BX27" s="5">
        <v>2</v>
      </c>
      <c r="BY27" s="5" t="s">
        <v>122</v>
      </c>
      <c r="BZ27" s="5" t="b">
        <v>1</v>
      </c>
      <c r="CA27" s="5" t="b">
        <v>1</v>
      </c>
      <c r="CB27" s="5" t="b">
        <v>1</v>
      </c>
      <c r="CC27" s="5" t="b">
        <v>1</v>
      </c>
      <c r="CD27" s="5" t="b">
        <v>1</v>
      </c>
      <c r="CE27" s="5">
        <v>5</v>
      </c>
      <c r="CF27" s="5">
        <v>6</v>
      </c>
      <c r="CG27" s="5">
        <v>9</v>
      </c>
      <c r="CH27" s="5" t="s">
        <v>296</v>
      </c>
      <c r="CI27" s="5" t="s">
        <v>297</v>
      </c>
      <c r="CJ27" s="5" t="b">
        <v>1</v>
      </c>
      <c r="CK27" s="5" t="b">
        <v>0</v>
      </c>
      <c r="CL27" s="5" t="b">
        <v>0</v>
      </c>
      <c r="CM27" s="5" t="b">
        <v>1</v>
      </c>
      <c r="CN27" s="5" t="b">
        <v>0</v>
      </c>
      <c r="CO27" s="5" t="b">
        <v>0</v>
      </c>
      <c r="CP27" s="5" t="b">
        <v>0</v>
      </c>
      <c r="CQ27" s="5" t="b">
        <v>0</v>
      </c>
      <c r="CR27" s="5" t="b">
        <v>0</v>
      </c>
      <c r="CS27" s="5" t="b">
        <v>0</v>
      </c>
      <c r="CT27" s="5" t="b">
        <v>0</v>
      </c>
      <c r="CU27" s="5" t="b">
        <v>0</v>
      </c>
      <c r="CV27" s="5" t="b">
        <v>0</v>
      </c>
      <c r="CW27" s="5" t="b">
        <v>1</v>
      </c>
      <c r="CX27" s="5" t="b">
        <v>0</v>
      </c>
      <c r="CY27" s="5" t="b">
        <v>0</v>
      </c>
      <c r="CZ27" s="5" t="b">
        <v>0</v>
      </c>
      <c r="DA27" s="5" t="b">
        <v>0</v>
      </c>
      <c r="DB27" s="5" t="b">
        <v>0</v>
      </c>
      <c r="DC27" s="5" t="b">
        <v>0</v>
      </c>
      <c r="DD27" s="5" t="b">
        <v>0</v>
      </c>
      <c r="DE27" s="5" t="b">
        <v>0</v>
      </c>
      <c r="DF27" s="5" t="b">
        <v>0</v>
      </c>
      <c r="DG27" s="5" t="b">
        <v>0</v>
      </c>
      <c r="DH27" s="5" t="b">
        <v>0</v>
      </c>
      <c r="DI27" s="5" t="b">
        <v>0</v>
      </c>
      <c r="DJ27" s="5" t="b">
        <v>1</v>
      </c>
      <c r="DK27" s="5" t="s">
        <v>298</v>
      </c>
      <c r="DL27" s="5">
        <v>2</v>
      </c>
      <c r="DM27" s="5" t="s">
        <v>30</v>
      </c>
      <c r="DN27" s="5">
        <v>3</v>
      </c>
      <c r="DO27" s="5" t="s">
        <v>63</v>
      </c>
      <c r="DP27" s="5">
        <v>2</v>
      </c>
      <c r="DQ27" s="5" t="s">
        <v>63</v>
      </c>
      <c r="DR27" s="5">
        <v>4</v>
      </c>
      <c r="DS27" s="5" t="s">
        <v>77</v>
      </c>
      <c r="DT27" s="5">
        <v>7</v>
      </c>
      <c r="DU27" s="5" t="s">
        <v>66</v>
      </c>
      <c r="DV27" s="5">
        <v>8</v>
      </c>
      <c r="DW27" s="5" t="s">
        <v>81</v>
      </c>
      <c r="DX27" s="5">
        <v>2</v>
      </c>
      <c r="DY27" s="5" t="s">
        <v>84</v>
      </c>
      <c r="DZ27" s="5">
        <v>3</v>
      </c>
      <c r="EA27" s="5" t="s">
        <v>90</v>
      </c>
      <c r="EB27" s="5">
        <v>3</v>
      </c>
      <c r="EC27" s="5" t="s">
        <v>93</v>
      </c>
      <c r="ED27" s="5" t="b">
        <v>1</v>
      </c>
      <c r="EE27" s="5" t="b">
        <v>0</v>
      </c>
      <c r="EF27" s="5" t="b">
        <v>0</v>
      </c>
      <c r="EG27" s="5" t="b">
        <v>1</v>
      </c>
      <c r="EH27" s="5">
        <v>2</v>
      </c>
      <c r="EI27" s="5">
        <v>3</v>
      </c>
      <c r="EJ27" s="5" t="s">
        <v>139</v>
      </c>
    </row>
    <row r="28" spans="1:140" x14ac:dyDescent="0.25">
      <c r="A28" s="5">
        <v>27</v>
      </c>
      <c r="B28" s="11">
        <v>45032</v>
      </c>
      <c r="C28" s="12">
        <v>0.54513888888888895</v>
      </c>
      <c r="D28" s="12" t="str">
        <f t="shared" si="0"/>
        <v>27   04/16/2023   13:05</v>
      </c>
      <c r="E28" s="5">
        <v>2</v>
      </c>
      <c r="F28" s="5" t="s">
        <v>1</v>
      </c>
      <c r="G28" s="5">
        <v>50</v>
      </c>
      <c r="H28" s="5">
        <v>2</v>
      </c>
      <c r="I28" s="5" t="s">
        <v>2</v>
      </c>
      <c r="J28" s="5">
        <v>6</v>
      </c>
      <c r="K28" s="5" t="s">
        <v>15</v>
      </c>
      <c r="L28" s="5" t="b">
        <v>1</v>
      </c>
      <c r="M28" s="5" t="b">
        <v>0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1</v>
      </c>
      <c r="T28" s="5" t="b">
        <v>0</v>
      </c>
      <c r="U28" s="5" t="b">
        <v>0</v>
      </c>
      <c r="V28" s="5" t="b">
        <v>0</v>
      </c>
      <c r="W28" s="5" t="b">
        <v>0</v>
      </c>
      <c r="X28" s="5" t="b">
        <v>0</v>
      </c>
      <c r="Y28" s="5" t="b">
        <v>0</v>
      </c>
      <c r="Z28" s="5" t="b">
        <v>1</v>
      </c>
      <c r="AA28" s="5" t="b">
        <v>0</v>
      </c>
      <c r="AB28" s="5" t="b">
        <v>0</v>
      </c>
      <c r="AC28" s="5" t="b">
        <v>0</v>
      </c>
      <c r="AD28" s="5" t="b">
        <v>0</v>
      </c>
      <c r="AE28" s="5" t="b">
        <v>0</v>
      </c>
      <c r="AF28" s="5" t="b">
        <v>0</v>
      </c>
      <c r="AG28" s="5" t="b">
        <v>0</v>
      </c>
      <c r="AH28" s="5" t="b">
        <v>0</v>
      </c>
      <c r="AI28" s="5" t="b">
        <v>0</v>
      </c>
      <c r="AJ28" s="5" t="b">
        <v>1</v>
      </c>
      <c r="AK28" s="5" t="b">
        <v>0</v>
      </c>
      <c r="AL28" s="5" t="b">
        <v>1</v>
      </c>
      <c r="AM28" s="5">
        <v>2</v>
      </c>
      <c r="AN28" s="5" t="s">
        <v>30</v>
      </c>
      <c r="AO28" s="5" t="s">
        <v>292</v>
      </c>
      <c r="AP28" s="5" t="s">
        <v>293</v>
      </c>
      <c r="AQ28" s="5">
        <v>2</v>
      </c>
      <c r="AR28" s="5" t="s">
        <v>130</v>
      </c>
      <c r="AS28" s="5">
        <v>2</v>
      </c>
      <c r="AT28" s="5" t="s">
        <v>63</v>
      </c>
      <c r="AU28" s="5">
        <v>5</v>
      </c>
      <c r="AV28" s="5" t="s">
        <v>70</v>
      </c>
      <c r="AW28" s="5">
        <v>2</v>
      </c>
      <c r="AX28" s="5" t="s">
        <v>72</v>
      </c>
      <c r="AY28" s="5">
        <v>12</v>
      </c>
      <c r="AZ28" s="5" t="s">
        <v>80</v>
      </c>
      <c r="BA28" s="5">
        <v>2</v>
      </c>
      <c r="BB28" s="5" t="s">
        <v>84</v>
      </c>
      <c r="BC28" s="5">
        <v>3</v>
      </c>
      <c r="BD28" s="5" t="s">
        <v>90</v>
      </c>
      <c r="BE28" s="5">
        <v>2</v>
      </c>
      <c r="BF28" s="5" t="s">
        <v>92</v>
      </c>
      <c r="BG28" s="5" t="b">
        <v>1</v>
      </c>
      <c r="BH28" s="5" t="b">
        <v>0</v>
      </c>
      <c r="BI28" s="5" t="b">
        <v>1</v>
      </c>
      <c r="BJ28" s="5" t="b">
        <v>1</v>
      </c>
      <c r="BK28" s="5">
        <v>3</v>
      </c>
      <c r="BL28" s="5">
        <v>2</v>
      </c>
      <c r="BM28" s="5" t="s">
        <v>95</v>
      </c>
      <c r="BN28" s="5" t="s">
        <v>294</v>
      </c>
      <c r="BO28" s="5">
        <v>2</v>
      </c>
      <c r="BP28" s="5" t="s">
        <v>101</v>
      </c>
      <c r="BQ28" s="5" t="s">
        <v>295</v>
      </c>
      <c r="BR28" s="5">
        <v>2</v>
      </c>
      <c r="BS28" s="5" t="s">
        <v>105</v>
      </c>
      <c r="BT28" s="5">
        <v>2</v>
      </c>
      <c r="BU28" s="5" t="s">
        <v>111</v>
      </c>
      <c r="BV28" s="5">
        <v>2</v>
      </c>
      <c r="BW28" s="5" t="s">
        <v>116</v>
      </c>
      <c r="BX28" s="5">
        <v>2</v>
      </c>
      <c r="BY28" s="5" t="s">
        <v>122</v>
      </c>
      <c r="BZ28" s="5" t="b">
        <v>1</v>
      </c>
      <c r="CA28" s="5" t="b">
        <v>1</v>
      </c>
      <c r="CB28" s="5" t="b">
        <v>1</v>
      </c>
      <c r="CC28" s="5" t="b">
        <v>1</v>
      </c>
      <c r="CD28" s="5" t="b">
        <v>1</v>
      </c>
      <c r="CE28" s="5">
        <v>5</v>
      </c>
      <c r="CF28" s="5">
        <v>6</v>
      </c>
      <c r="CG28" s="5">
        <v>9</v>
      </c>
      <c r="CH28" s="5" t="s">
        <v>296</v>
      </c>
      <c r="CI28" s="5" t="s">
        <v>297</v>
      </c>
      <c r="CJ28" s="5" t="b">
        <v>1</v>
      </c>
      <c r="CK28" s="5" t="b">
        <v>0</v>
      </c>
      <c r="CL28" s="5" t="b">
        <v>0</v>
      </c>
      <c r="CM28" s="5" t="b">
        <v>1</v>
      </c>
      <c r="CN28" s="5" t="b">
        <v>0</v>
      </c>
      <c r="CO28" s="5" t="b">
        <v>0</v>
      </c>
      <c r="CP28" s="5" t="b">
        <v>0</v>
      </c>
      <c r="CQ28" s="5" t="b">
        <v>0</v>
      </c>
      <c r="CR28" s="5" t="b">
        <v>0</v>
      </c>
      <c r="CS28" s="5" t="b">
        <v>0</v>
      </c>
      <c r="CT28" s="5" t="b">
        <v>0</v>
      </c>
      <c r="CU28" s="5" t="b">
        <v>0</v>
      </c>
      <c r="CV28" s="5" t="b">
        <v>0</v>
      </c>
      <c r="CW28" s="5" t="b">
        <v>1</v>
      </c>
      <c r="CX28" s="5" t="b">
        <v>0</v>
      </c>
      <c r="CY28" s="5" t="b">
        <v>0</v>
      </c>
      <c r="CZ28" s="5" t="b">
        <v>0</v>
      </c>
      <c r="DA28" s="5" t="b">
        <v>0</v>
      </c>
      <c r="DB28" s="5" t="b">
        <v>0</v>
      </c>
      <c r="DC28" s="5" t="b">
        <v>0</v>
      </c>
      <c r="DD28" s="5" t="b">
        <v>0</v>
      </c>
      <c r="DE28" s="5" t="b">
        <v>0</v>
      </c>
      <c r="DF28" s="5" t="b">
        <v>0</v>
      </c>
      <c r="DG28" s="5" t="b">
        <v>0</v>
      </c>
      <c r="DH28" s="5" t="b">
        <v>0</v>
      </c>
      <c r="DI28" s="5" t="b">
        <v>0</v>
      </c>
      <c r="DJ28" s="5" t="b">
        <v>1</v>
      </c>
      <c r="DK28" s="5" t="s">
        <v>298</v>
      </c>
      <c r="DL28" s="5">
        <v>2</v>
      </c>
      <c r="DM28" s="5" t="s">
        <v>30</v>
      </c>
      <c r="DN28" s="5">
        <v>3</v>
      </c>
      <c r="DO28" s="5" t="s">
        <v>63</v>
      </c>
      <c r="DP28" s="5">
        <v>2</v>
      </c>
      <c r="DQ28" s="5" t="s">
        <v>63</v>
      </c>
      <c r="DR28" s="5">
        <v>4</v>
      </c>
      <c r="DS28" s="5" t="s">
        <v>77</v>
      </c>
      <c r="DT28" s="5">
        <v>7</v>
      </c>
      <c r="DU28" s="5" t="s">
        <v>66</v>
      </c>
      <c r="DV28" s="5">
        <v>8</v>
      </c>
      <c r="DW28" s="5" t="s">
        <v>81</v>
      </c>
      <c r="DX28" s="5">
        <v>2</v>
      </c>
      <c r="DY28" s="5" t="s">
        <v>84</v>
      </c>
      <c r="DZ28" s="5">
        <v>3</v>
      </c>
      <c r="EA28" s="5" t="s">
        <v>90</v>
      </c>
      <c r="EB28" s="5">
        <v>3</v>
      </c>
      <c r="EC28" s="5" t="s">
        <v>93</v>
      </c>
      <c r="ED28" s="5" t="b">
        <v>1</v>
      </c>
      <c r="EE28" s="5" t="b">
        <v>0</v>
      </c>
      <c r="EF28" s="5" t="b">
        <v>0</v>
      </c>
      <c r="EG28" s="5" t="b">
        <v>1</v>
      </c>
      <c r="EH28" s="5">
        <v>2</v>
      </c>
      <c r="EI28" s="5">
        <v>3</v>
      </c>
      <c r="EJ28" s="5" t="s">
        <v>139</v>
      </c>
    </row>
    <row r="29" spans="1:140" x14ac:dyDescent="0.25">
      <c r="A29" s="5">
        <v>28</v>
      </c>
      <c r="B29" s="11">
        <v>45032</v>
      </c>
      <c r="C29" s="12">
        <v>0.54513888888888895</v>
      </c>
      <c r="D29" s="12" t="str">
        <f t="shared" si="0"/>
        <v>28   04/16/2023   13:05</v>
      </c>
      <c r="E29" s="5">
        <v>2</v>
      </c>
      <c r="F29" s="5" t="s">
        <v>1</v>
      </c>
      <c r="G29" s="5">
        <v>50</v>
      </c>
      <c r="H29" s="5">
        <v>2</v>
      </c>
      <c r="I29" s="5" t="s">
        <v>2</v>
      </c>
      <c r="J29" s="5">
        <v>6</v>
      </c>
      <c r="K29" s="5" t="s">
        <v>15</v>
      </c>
      <c r="L29" s="5" t="b">
        <v>1</v>
      </c>
      <c r="M29" s="5" t="b">
        <v>0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1</v>
      </c>
      <c r="T29" s="5" t="b">
        <v>0</v>
      </c>
      <c r="U29" s="5" t="b">
        <v>0</v>
      </c>
      <c r="V29" s="5" t="b">
        <v>0</v>
      </c>
      <c r="W29" s="5" t="b">
        <v>0</v>
      </c>
      <c r="X29" s="5" t="b">
        <v>0</v>
      </c>
      <c r="Y29" s="5" t="b">
        <v>0</v>
      </c>
      <c r="Z29" s="5" t="b">
        <v>1</v>
      </c>
      <c r="AA29" s="5" t="b">
        <v>0</v>
      </c>
      <c r="AB29" s="5" t="b">
        <v>0</v>
      </c>
      <c r="AC29" s="5" t="b">
        <v>0</v>
      </c>
      <c r="AD29" s="5" t="b">
        <v>0</v>
      </c>
      <c r="AE29" s="5" t="b">
        <v>0</v>
      </c>
      <c r="AF29" s="5" t="b">
        <v>0</v>
      </c>
      <c r="AG29" s="5" t="b">
        <v>0</v>
      </c>
      <c r="AH29" s="5" t="b">
        <v>0</v>
      </c>
      <c r="AI29" s="5" t="b">
        <v>0</v>
      </c>
      <c r="AJ29" s="5" t="b">
        <v>1</v>
      </c>
      <c r="AK29" s="5" t="b">
        <v>0</v>
      </c>
      <c r="AL29" s="5" t="b">
        <v>1</v>
      </c>
      <c r="AM29" s="5">
        <v>2</v>
      </c>
      <c r="AN29" s="5" t="s">
        <v>30</v>
      </c>
      <c r="AO29" s="5" t="s">
        <v>292</v>
      </c>
      <c r="AP29" s="5" t="s">
        <v>293</v>
      </c>
      <c r="AQ29" s="5">
        <v>2</v>
      </c>
      <c r="AR29" s="5" t="s">
        <v>130</v>
      </c>
      <c r="AS29" s="5">
        <v>2</v>
      </c>
      <c r="AT29" s="5" t="s">
        <v>63</v>
      </c>
      <c r="AU29" s="5">
        <v>5</v>
      </c>
      <c r="AV29" s="5" t="s">
        <v>70</v>
      </c>
      <c r="AW29" s="5">
        <v>2</v>
      </c>
      <c r="AX29" s="5" t="s">
        <v>72</v>
      </c>
      <c r="AY29" s="5">
        <v>12</v>
      </c>
      <c r="AZ29" s="5" t="s">
        <v>80</v>
      </c>
      <c r="BA29" s="5">
        <v>2</v>
      </c>
      <c r="BB29" s="5" t="s">
        <v>84</v>
      </c>
      <c r="BC29" s="5">
        <v>3</v>
      </c>
      <c r="BD29" s="5" t="s">
        <v>90</v>
      </c>
      <c r="BE29" s="5">
        <v>2</v>
      </c>
      <c r="BF29" s="5" t="s">
        <v>92</v>
      </c>
      <c r="BG29" s="5" t="b">
        <v>1</v>
      </c>
      <c r="BH29" s="5" t="b">
        <v>0</v>
      </c>
      <c r="BI29" s="5" t="b">
        <v>1</v>
      </c>
      <c r="BJ29" s="5" t="b">
        <v>1</v>
      </c>
      <c r="BK29" s="5">
        <v>3</v>
      </c>
      <c r="BL29" s="5">
        <v>2</v>
      </c>
      <c r="BM29" s="5" t="s">
        <v>95</v>
      </c>
      <c r="BN29" s="5" t="s">
        <v>294</v>
      </c>
      <c r="BO29" s="5">
        <v>2</v>
      </c>
      <c r="BP29" s="5" t="s">
        <v>101</v>
      </c>
      <c r="BQ29" s="5" t="s">
        <v>295</v>
      </c>
      <c r="BR29" s="5">
        <v>2</v>
      </c>
      <c r="BS29" s="5" t="s">
        <v>105</v>
      </c>
      <c r="BT29" s="5">
        <v>2</v>
      </c>
      <c r="BU29" s="5" t="s">
        <v>111</v>
      </c>
      <c r="BV29" s="5">
        <v>2</v>
      </c>
      <c r="BW29" s="5" t="s">
        <v>116</v>
      </c>
      <c r="BX29" s="5">
        <v>2</v>
      </c>
      <c r="BY29" s="5" t="s">
        <v>122</v>
      </c>
      <c r="BZ29" s="5" t="b">
        <v>1</v>
      </c>
      <c r="CA29" s="5" t="b">
        <v>1</v>
      </c>
      <c r="CB29" s="5" t="b">
        <v>1</v>
      </c>
      <c r="CC29" s="5" t="b">
        <v>1</v>
      </c>
      <c r="CD29" s="5" t="b">
        <v>1</v>
      </c>
      <c r="CE29" s="5">
        <v>5</v>
      </c>
      <c r="CF29" s="5">
        <v>6</v>
      </c>
      <c r="CG29" s="5">
        <v>9</v>
      </c>
      <c r="CH29" s="5" t="s">
        <v>296</v>
      </c>
      <c r="CI29" s="5" t="s">
        <v>297</v>
      </c>
      <c r="CJ29" s="5" t="b">
        <v>1</v>
      </c>
      <c r="CK29" s="5" t="b">
        <v>0</v>
      </c>
      <c r="CL29" s="5" t="b">
        <v>0</v>
      </c>
      <c r="CM29" s="5" t="b">
        <v>1</v>
      </c>
      <c r="CN29" s="5" t="b">
        <v>0</v>
      </c>
      <c r="CO29" s="5" t="b">
        <v>0</v>
      </c>
      <c r="CP29" s="5" t="b">
        <v>0</v>
      </c>
      <c r="CQ29" s="5" t="b">
        <v>0</v>
      </c>
      <c r="CR29" s="5" t="b">
        <v>0</v>
      </c>
      <c r="CS29" s="5" t="b">
        <v>0</v>
      </c>
      <c r="CT29" s="5" t="b">
        <v>0</v>
      </c>
      <c r="CU29" s="5" t="b">
        <v>0</v>
      </c>
      <c r="CV29" s="5" t="b">
        <v>0</v>
      </c>
      <c r="CW29" s="5" t="b">
        <v>1</v>
      </c>
      <c r="CX29" s="5" t="b">
        <v>0</v>
      </c>
      <c r="CY29" s="5" t="b">
        <v>0</v>
      </c>
      <c r="CZ29" s="5" t="b">
        <v>0</v>
      </c>
      <c r="DA29" s="5" t="b">
        <v>0</v>
      </c>
      <c r="DB29" s="5" t="b">
        <v>0</v>
      </c>
      <c r="DC29" s="5" t="b">
        <v>0</v>
      </c>
      <c r="DD29" s="5" t="b">
        <v>0</v>
      </c>
      <c r="DE29" s="5" t="b">
        <v>0</v>
      </c>
      <c r="DF29" s="5" t="b">
        <v>0</v>
      </c>
      <c r="DG29" s="5" t="b">
        <v>0</v>
      </c>
      <c r="DH29" s="5" t="b">
        <v>0</v>
      </c>
      <c r="DI29" s="5" t="b">
        <v>0</v>
      </c>
      <c r="DJ29" s="5" t="b">
        <v>1</v>
      </c>
      <c r="DK29" s="5" t="s">
        <v>298</v>
      </c>
      <c r="DL29" s="5">
        <v>2</v>
      </c>
      <c r="DM29" s="5" t="s">
        <v>30</v>
      </c>
      <c r="DN29" s="5">
        <v>3</v>
      </c>
      <c r="DO29" s="5" t="s">
        <v>63</v>
      </c>
      <c r="DP29" s="5">
        <v>2</v>
      </c>
      <c r="DQ29" s="5" t="s">
        <v>63</v>
      </c>
      <c r="DR29" s="5">
        <v>4</v>
      </c>
      <c r="DS29" s="5" t="s">
        <v>77</v>
      </c>
      <c r="DT29" s="5">
        <v>7</v>
      </c>
      <c r="DU29" s="5" t="s">
        <v>66</v>
      </c>
      <c r="DV29" s="5">
        <v>8</v>
      </c>
      <c r="DW29" s="5" t="s">
        <v>81</v>
      </c>
      <c r="DX29" s="5">
        <v>2</v>
      </c>
      <c r="DY29" s="5" t="s">
        <v>84</v>
      </c>
      <c r="DZ29" s="5">
        <v>3</v>
      </c>
      <c r="EA29" s="5" t="s">
        <v>90</v>
      </c>
      <c r="EB29" s="5">
        <v>3</v>
      </c>
      <c r="EC29" s="5" t="s">
        <v>93</v>
      </c>
      <c r="ED29" s="5" t="b">
        <v>1</v>
      </c>
      <c r="EE29" s="5" t="b">
        <v>0</v>
      </c>
      <c r="EF29" s="5" t="b">
        <v>0</v>
      </c>
      <c r="EG29" s="5" t="b">
        <v>1</v>
      </c>
      <c r="EH29" s="5">
        <v>2</v>
      </c>
      <c r="EI29" s="5">
        <v>3</v>
      </c>
      <c r="EJ29" s="5" t="s">
        <v>139</v>
      </c>
    </row>
    <row r="30" spans="1:140" x14ac:dyDescent="0.25">
      <c r="A30" s="5">
        <v>29</v>
      </c>
      <c r="B30" s="11">
        <v>45032</v>
      </c>
      <c r="C30" s="12">
        <v>0.54513888888888895</v>
      </c>
      <c r="D30" s="12" t="str">
        <f t="shared" si="0"/>
        <v>29   04/16/2023   13:05</v>
      </c>
      <c r="E30" s="5">
        <v>2</v>
      </c>
      <c r="F30" s="5" t="s">
        <v>1</v>
      </c>
      <c r="G30" s="5">
        <v>50</v>
      </c>
      <c r="H30" s="5">
        <v>2</v>
      </c>
      <c r="I30" s="5" t="s">
        <v>2</v>
      </c>
      <c r="J30" s="5">
        <v>6</v>
      </c>
      <c r="K30" s="5" t="s">
        <v>15</v>
      </c>
      <c r="L30" s="5" t="b">
        <v>1</v>
      </c>
      <c r="M30" s="5" t="b">
        <v>0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1</v>
      </c>
      <c r="T30" s="5" t="b">
        <v>0</v>
      </c>
      <c r="U30" s="5" t="b">
        <v>0</v>
      </c>
      <c r="V30" s="5" t="b">
        <v>0</v>
      </c>
      <c r="W30" s="5" t="b">
        <v>0</v>
      </c>
      <c r="X30" s="5" t="b">
        <v>0</v>
      </c>
      <c r="Y30" s="5" t="b">
        <v>0</v>
      </c>
      <c r="Z30" s="5" t="b">
        <v>1</v>
      </c>
      <c r="AA30" s="5" t="b">
        <v>0</v>
      </c>
      <c r="AB30" s="5" t="b">
        <v>0</v>
      </c>
      <c r="AC30" s="5" t="b">
        <v>0</v>
      </c>
      <c r="AD30" s="5" t="b">
        <v>0</v>
      </c>
      <c r="AE30" s="5" t="b">
        <v>0</v>
      </c>
      <c r="AF30" s="5" t="b">
        <v>0</v>
      </c>
      <c r="AG30" s="5" t="b">
        <v>0</v>
      </c>
      <c r="AH30" s="5" t="b">
        <v>0</v>
      </c>
      <c r="AI30" s="5" t="b">
        <v>0</v>
      </c>
      <c r="AJ30" s="5" t="b">
        <v>1</v>
      </c>
      <c r="AK30" s="5" t="b">
        <v>0</v>
      </c>
      <c r="AL30" s="5" t="b">
        <v>1</v>
      </c>
      <c r="AM30" s="5">
        <v>2</v>
      </c>
      <c r="AN30" s="5" t="s">
        <v>30</v>
      </c>
      <c r="AO30" s="5" t="s">
        <v>292</v>
      </c>
      <c r="AP30" s="5" t="s">
        <v>293</v>
      </c>
      <c r="AQ30" s="5">
        <v>2</v>
      </c>
      <c r="AR30" s="5" t="s">
        <v>130</v>
      </c>
      <c r="AS30" s="5">
        <v>2</v>
      </c>
      <c r="AT30" s="5" t="s">
        <v>63</v>
      </c>
      <c r="AU30" s="5">
        <v>5</v>
      </c>
      <c r="AV30" s="5" t="s">
        <v>70</v>
      </c>
      <c r="AW30" s="5">
        <v>2</v>
      </c>
      <c r="AX30" s="5" t="s">
        <v>72</v>
      </c>
      <c r="AY30" s="5">
        <v>12</v>
      </c>
      <c r="AZ30" s="5" t="s">
        <v>80</v>
      </c>
      <c r="BA30" s="5">
        <v>2</v>
      </c>
      <c r="BB30" s="5" t="s">
        <v>84</v>
      </c>
      <c r="BC30" s="5">
        <v>3</v>
      </c>
      <c r="BD30" s="5" t="s">
        <v>90</v>
      </c>
      <c r="BE30" s="5">
        <v>2</v>
      </c>
      <c r="BF30" s="5" t="s">
        <v>92</v>
      </c>
      <c r="BG30" s="5" t="b">
        <v>1</v>
      </c>
      <c r="BH30" s="5" t="b">
        <v>0</v>
      </c>
      <c r="BI30" s="5" t="b">
        <v>1</v>
      </c>
      <c r="BJ30" s="5" t="b">
        <v>1</v>
      </c>
      <c r="BK30" s="5">
        <v>3</v>
      </c>
      <c r="BL30" s="5">
        <v>2</v>
      </c>
      <c r="BM30" s="5" t="s">
        <v>95</v>
      </c>
      <c r="BN30" s="5" t="s">
        <v>294</v>
      </c>
      <c r="BO30" s="5">
        <v>2</v>
      </c>
      <c r="BP30" s="5" t="s">
        <v>101</v>
      </c>
      <c r="BQ30" s="5" t="s">
        <v>295</v>
      </c>
      <c r="BR30" s="5">
        <v>2</v>
      </c>
      <c r="BS30" s="5" t="s">
        <v>105</v>
      </c>
      <c r="BT30" s="5">
        <v>2</v>
      </c>
      <c r="BU30" s="5" t="s">
        <v>111</v>
      </c>
      <c r="BV30" s="5">
        <v>2</v>
      </c>
      <c r="BW30" s="5" t="s">
        <v>116</v>
      </c>
      <c r="BX30" s="5">
        <v>2</v>
      </c>
      <c r="BY30" s="5" t="s">
        <v>122</v>
      </c>
      <c r="BZ30" s="5" t="b">
        <v>1</v>
      </c>
      <c r="CA30" s="5" t="b">
        <v>1</v>
      </c>
      <c r="CB30" s="5" t="b">
        <v>1</v>
      </c>
      <c r="CC30" s="5" t="b">
        <v>1</v>
      </c>
      <c r="CD30" s="5" t="b">
        <v>1</v>
      </c>
      <c r="CE30" s="5">
        <v>5</v>
      </c>
      <c r="CF30" s="5">
        <v>6</v>
      </c>
      <c r="CG30" s="5">
        <v>9</v>
      </c>
      <c r="CH30" s="5" t="s">
        <v>296</v>
      </c>
      <c r="CI30" s="5" t="s">
        <v>297</v>
      </c>
      <c r="CJ30" s="5" t="b">
        <v>1</v>
      </c>
      <c r="CK30" s="5" t="b">
        <v>0</v>
      </c>
      <c r="CL30" s="5" t="b">
        <v>0</v>
      </c>
      <c r="CM30" s="5" t="b">
        <v>1</v>
      </c>
      <c r="CN30" s="5" t="b">
        <v>0</v>
      </c>
      <c r="CO30" s="5" t="b">
        <v>0</v>
      </c>
      <c r="CP30" s="5" t="b">
        <v>0</v>
      </c>
      <c r="CQ30" s="5" t="b">
        <v>0</v>
      </c>
      <c r="CR30" s="5" t="b">
        <v>0</v>
      </c>
      <c r="CS30" s="5" t="b">
        <v>0</v>
      </c>
      <c r="CT30" s="5" t="b">
        <v>0</v>
      </c>
      <c r="CU30" s="5" t="b">
        <v>0</v>
      </c>
      <c r="CV30" s="5" t="b">
        <v>0</v>
      </c>
      <c r="CW30" s="5" t="b">
        <v>1</v>
      </c>
      <c r="CX30" s="5" t="b">
        <v>0</v>
      </c>
      <c r="CY30" s="5" t="b">
        <v>0</v>
      </c>
      <c r="CZ30" s="5" t="b">
        <v>0</v>
      </c>
      <c r="DA30" s="5" t="b">
        <v>0</v>
      </c>
      <c r="DB30" s="5" t="b">
        <v>0</v>
      </c>
      <c r="DC30" s="5" t="b">
        <v>0</v>
      </c>
      <c r="DD30" s="5" t="b">
        <v>0</v>
      </c>
      <c r="DE30" s="5" t="b">
        <v>0</v>
      </c>
      <c r="DF30" s="5" t="b">
        <v>0</v>
      </c>
      <c r="DG30" s="5" t="b">
        <v>0</v>
      </c>
      <c r="DH30" s="5" t="b">
        <v>0</v>
      </c>
      <c r="DI30" s="5" t="b">
        <v>0</v>
      </c>
      <c r="DJ30" s="5" t="b">
        <v>1</v>
      </c>
      <c r="DK30" s="5" t="s">
        <v>298</v>
      </c>
      <c r="DL30" s="5">
        <v>2</v>
      </c>
      <c r="DM30" s="5" t="s">
        <v>30</v>
      </c>
      <c r="DN30" s="5">
        <v>3</v>
      </c>
      <c r="DO30" s="5" t="s">
        <v>63</v>
      </c>
      <c r="DP30" s="5">
        <v>2</v>
      </c>
      <c r="DQ30" s="5" t="s">
        <v>63</v>
      </c>
      <c r="DR30" s="5">
        <v>4</v>
      </c>
      <c r="DS30" s="5" t="s">
        <v>77</v>
      </c>
      <c r="DT30" s="5">
        <v>7</v>
      </c>
      <c r="DU30" s="5" t="s">
        <v>66</v>
      </c>
      <c r="DV30" s="5">
        <v>8</v>
      </c>
      <c r="DW30" s="5" t="s">
        <v>81</v>
      </c>
      <c r="DX30" s="5">
        <v>2</v>
      </c>
      <c r="DY30" s="5" t="s">
        <v>84</v>
      </c>
      <c r="DZ30" s="5">
        <v>3</v>
      </c>
      <c r="EA30" s="5" t="s">
        <v>90</v>
      </c>
      <c r="EB30" s="5">
        <v>3</v>
      </c>
      <c r="EC30" s="5" t="s">
        <v>93</v>
      </c>
      <c r="ED30" s="5" t="b">
        <v>1</v>
      </c>
      <c r="EE30" s="5" t="b">
        <v>0</v>
      </c>
      <c r="EF30" s="5" t="b">
        <v>0</v>
      </c>
      <c r="EG30" s="5" t="b">
        <v>1</v>
      </c>
      <c r="EH30" s="5">
        <v>2</v>
      </c>
      <c r="EI30" s="5">
        <v>3</v>
      </c>
      <c r="EJ30" s="5" t="s">
        <v>139</v>
      </c>
    </row>
    <row r="31" spans="1:140" x14ac:dyDescent="0.25">
      <c r="A31" s="5">
        <v>30</v>
      </c>
      <c r="B31" s="11">
        <v>45032</v>
      </c>
      <c r="C31" s="12">
        <v>0.54513888888888895</v>
      </c>
      <c r="D31" s="12" t="str">
        <f t="shared" si="0"/>
        <v>30   04/16/2023   13:05</v>
      </c>
      <c r="E31" s="5">
        <v>2</v>
      </c>
      <c r="F31" s="5" t="s">
        <v>1</v>
      </c>
      <c r="G31" s="5">
        <v>50</v>
      </c>
      <c r="H31" s="5">
        <v>2</v>
      </c>
      <c r="I31" s="5" t="s">
        <v>2</v>
      </c>
      <c r="J31" s="5">
        <v>6</v>
      </c>
      <c r="K31" s="5" t="s">
        <v>15</v>
      </c>
      <c r="L31" s="5" t="b">
        <v>1</v>
      </c>
      <c r="M31" s="5" t="b">
        <v>0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1</v>
      </c>
      <c r="T31" s="5" t="b">
        <v>0</v>
      </c>
      <c r="U31" s="5" t="b">
        <v>0</v>
      </c>
      <c r="V31" s="5" t="b">
        <v>0</v>
      </c>
      <c r="W31" s="5" t="b">
        <v>0</v>
      </c>
      <c r="X31" s="5" t="b">
        <v>0</v>
      </c>
      <c r="Y31" s="5" t="b">
        <v>0</v>
      </c>
      <c r="Z31" s="5" t="b">
        <v>1</v>
      </c>
      <c r="AA31" s="5" t="b">
        <v>0</v>
      </c>
      <c r="AB31" s="5" t="b">
        <v>0</v>
      </c>
      <c r="AC31" s="5" t="b">
        <v>0</v>
      </c>
      <c r="AD31" s="5" t="b">
        <v>0</v>
      </c>
      <c r="AE31" s="5" t="b">
        <v>0</v>
      </c>
      <c r="AF31" s="5" t="b">
        <v>0</v>
      </c>
      <c r="AG31" s="5" t="b">
        <v>0</v>
      </c>
      <c r="AH31" s="5" t="b">
        <v>0</v>
      </c>
      <c r="AI31" s="5" t="b">
        <v>0</v>
      </c>
      <c r="AJ31" s="5" t="b">
        <v>1</v>
      </c>
      <c r="AK31" s="5" t="b">
        <v>0</v>
      </c>
      <c r="AL31" s="5" t="b">
        <v>1</v>
      </c>
      <c r="AM31" s="5">
        <v>2</v>
      </c>
      <c r="AN31" s="5" t="s">
        <v>30</v>
      </c>
      <c r="AO31" s="5" t="s">
        <v>292</v>
      </c>
      <c r="AP31" s="5" t="s">
        <v>293</v>
      </c>
      <c r="AQ31" s="5">
        <v>2</v>
      </c>
      <c r="AR31" s="5" t="s">
        <v>130</v>
      </c>
      <c r="AS31" s="5">
        <v>2</v>
      </c>
      <c r="AT31" s="5" t="s">
        <v>63</v>
      </c>
      <c r="AU31" s="5">
        <v>5</v>
      </c>
      <c r="AV31" s="5" t="s">
        <v>70</v>
      </c>
      <c r="AW31" s="5">
        <v>2</v>
      </c>
      <c r="AX31" s="5" t="s">
        <v>72</v>
      </c>
      <c r="AY31" s="5">
        <v>12</v>
      </c>
      <c r="AZ31" s="5" t="s">
        <v>80</v>
      </c>
      <c r="BA31" s="5">
        <v>2</v>
      </c>
      <c r="BB31" s="5" t="s">
        <v>84</v>
      </c>
      <c r="BC31" s="5">
        <v>3</v>
      </c>
      <c r="BD31" s="5" t="s">
        <v>90</v>
      </c>
      <c r="BE31" s="5">
        <v>2</v>
      </c>
      <c r="BF31" s="5" t="s">
        <v>92</v>
      </c>
      <c r="BG31" s="5" t="b">
        <v>1</v>
      </c>
      <c r="BH31" s="5" t="b">
        <v>0</v>
      </c>
      <c r="BI31" s="5" t="b">
        <v>1</v>
      </c>
      <c r="BJ31" s="5" t="b">
        <v>1</v>
      </c>
      <c r="BK31" s="5">
        <v>3</v>
      </c>
      <c r="BL31" s="5">
        <v>2</v>
      </c>
      <c r="BM31" s="5" t="s">
        <v>95</v>
      </c>
      <c r="BN31" s="5" t="s">
        <v>294</v>
      </c>
      <c r="BO31" s="5">
        <v>2</v>
      </c>
      <c r="BP31" s="5" t="s">
        <v>101</v>
      </c>
      <c r="BQ31" s="5" t="s">
        <v>295</v>
      </c>
      <c r="BR31" s="5">
        <v>2</v>
      </c>
      <c r="BS31" s="5" t="s">
        <v>105</v>
      </c>
      <c r="BT31" s="5">
        <v>2</v>
      </c>
      <c r="BU31" s="5" t="s">
        <v>111</v>
      </c>
      <c r="BV31" s="5">
        <v>2</v>
      </c>
      <c r="BW31" s="5" t="s">
        <v>116</v>
      </c>
      <c r="BX31" s="5">
        <v>2</v>
      </c>
      <c r="BY31" s="5" t="s">
        <v>122</v>
      </c>
      <c r="BZ31" s="5" t="b">
        <v>1</v>
      </c>
      <c r="CA31" s="5" t="b">
        <v>1</v>
      </c>
      <c r="CB31" s="5" t="b">
        <v>1</v>
      </c>
      <c r="CC31" s="5" t="b">
        <v>1</v>
      </c>
      <c r="CD31" s="5" t="b">
        <v>1</v>
      </c>
      <c r="CE31" s="5">
        <v>5</v>
      </c>
      <c r="CF31" s="5">
        <v>6</v>
      </c>
      <c r="CG31" s="5">
        <v>9</v>
      </c>
      <c r="CH31" s="5" t="s">
        <v>296</v>
      </c>
      <c r="CI31" s="5" t="s">
        <v>297</v>
      </c>
      <c r="CJ31" s="5" t="b">
        <v>1</v>
      </c>
      <c r="CK31" s="5" t="b">
        <v>0</v>
      </c>
      <c r="CL31" s="5" t="b">
        <v>0</v>
      </c>
      <c r="CM31" s="5" t="b">
        <v>1</v>
      </c>
      <c r="CN31" s="5" t="b">
        <v>0</v>
      </c>
      <c r="CO31" s="5" t="b">
        <v>0</v>
      </c>
      <c r="CP31" s="5" t="b">
        <v>0</v>
      </c>
      <c r="CQ31" s="5" t="b">
        <v>0</v>
      </c>
      <c r="CR31" s="5" t="b">
        <v>0</v>
      </c>
      <c r="CS31" s="5" t="b">
        <v>0</v>
      </c>
      <c r="CT31" s="5" t="b">
        <v>0</v>
      </c>
      <c r="CU31" s="5" t="b">
        <v>0</v>
      </c>
      <c r="CV31" s="5" t="b">
        <v>0</v>
      </c>
      <c r="CW31" s="5" t="b">
        <v>1</v>
      </c>
      <c r="CX31" s="5" t="b">
        <v>0</v>
      </c>
      <c r="CY31" s="5" t="b">
        <v>0</v>
      </c>
      <c r="CZ31" s="5" t="b">
        <v>0</v>
      </c>
      <c r="DA31" s="5" t="b">
        <v>0</v>
      </c>
      <c r="DB31" s="5" t="b">
        <v>0</v>
      </c>
      <c r="DC31" s="5" t="b">
        <v>0</v>
      </c>
      <c r="DD31" s="5" t="b">
        <v>0</v>
      </c>
      <c r="DE31" s="5" t="b">
        <v>0</v>
      </c>
      <c r="DF31" s="5" t="b">
        <v>0</v>
      </c>
      <c r="DG31" s="5" t="b">
        <v>0</v>
      </c>
      <c r="DH31" s="5" t="b">
        <v>0</v>
      </c>
      <c r="DI31" s="5" t="b">
        <v>0</v>
      </c>
      <c r="DJ31" s="5" t="b">
        <v>1</v>
      </c>
      <c r="DK31" s="5" t="s">
        <v>298</v>
      </c>
      <c r="DL31" s="5">
        <v>2</v>
      </c>
      <c r="DM31" s="5" t="s">
        <v>30</v>
      </c>
      <c r="DN31" s="5">
        <v>3</v>
      </c>
      <c r="DO31" s="5" t="s">
        <v>63</v>
      </c>
      <c r="DP31" s="5">
        <v>2</v>
      </c>
      <c r="DQ31" s="5" t="s">
        <v>63</v>
      </c>
      <c r="DR31" s="5">
        <v>4</v>
      </c>
      <c r="DS31" s="5" t="s">
        <v>77</v>
      </c>
      <c r="DT31" s="5">
        <v>7</v>
      </c>
      <c r="DU31" s="5" t="s">
        <v>66</v>
      </c>
      <c r="DV31" s="5">
        <v>8</v>
      </c>
      <c r="DW31" s="5" t="s">
        <v>81</v>
      </c>
      <c r="DX31" s="5">
        <v>2</v>
      </c>
      <c r="DY31" s="5" t="s">
        <v>84</v>
      </c>
      <c r="DZ31" s="5">
        <v>3</v>
      </c>
      <c r="EA31" s="5" t="s">
        <v>90</v>
      </c>
      <c r="EB31" s="5">
        <v>3</v>
      </c>
      <c r="EC31" s="5" t="s">
        <v>93</v>
      </c>
      <c r="ED31" s="5" t="b">
        <v>1</v>
      </c>
      <c r="EE31" s="5" t="b">
        <v>0</v>
      </c>
      <c r="EF31" s="5" t="b">
        <v>0</v>
      </c>
      <c r="EG31" s="5" t="b">
        <v>1</v>
      </c>
      <c r="EH31" s="5">
        <v>2</v>
      </c>
      <c r="EI31" s="5">
        <v>3</v>
      </c>
      <c r="EJ31" s="5" t="s">
        <v>139</v>
      </c>
    </row>
    <row r="32" spans="1:140" x14ac:dyDescent="0.25">
      <c r="A32" s="5">
        <v>31</v>
      </c>
      <c r="B32" s="11">
        <v>45032</v>
      </c>
      <c r="C32" s="12">
        <v>0.54513888888888895</v>
      </c>
      <c r="D32" s="12" t="str">
        <f t="shared" si="0"/>
        <v>31   04/16/2023   13:05</v>
      </c>
      <c r="E32" s="5">
        <v>2</v>
      </c>
      <c r="F32" s="5" t="s">
        <v>1</v>
      </c>
      <c r="G32" s="5">
        <v>50</v>
      </c>
      <c r="H32" s="5">
        <v>2</v>
      </c>
      <c r="I32" s="5" t="s">
        <v>2</v>
      </c>
      <c r="J32" s="5">
        <v>6</v>
      </c>
      <c r="K32" s="5" t="s">
        <v>15</v>
      </c>
      <c r="L32" s="5" t="b">
        <v>1</v>
      </c>
      <c r="M32" s="5" t="b">
        <v>0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1</v>
      </c>
      <c r="T32" s="5" t="b">
        <v>0</v>
      </c>
      <c r="U32" s="5" t="b">
        <v>0</v>
      </c>
      <c r="V32" s="5" t="b">
        <v>0</v>
      </c>
      <c r="W32" s="5" t="b">
        <v>0</v>
      </c>
      <c r="X32" s="5" t="b">
        <v>0</v>
      </c>
      <c r="Y32" s="5" t="b">
        <v>0</v>
      </c>
      <c r="Z32" s="5" t="b">
        <v>1</v>
      </c>
      <c r="AA32" s="5" t="b">
        <v>0</v>
      </c>
      <c r="AB32" s="5" t="b">
        <v>0</v>
      </c>
      <c r="AC32" s="5" t="b">
        <v>0</v>
      </c>
      <c r="AD32" s="5" t="b">
        <v>0</v>
      </c>
      <c r="AE32" s="5" t="b">
        <v>0</v>
      </c>
      <c r="AF32" s="5" t="b">
        <v>0</v>
      </c>
      <c r="AG32" s="5" t="b">
        <v>0</v>
      </c>
      <c r="AH32" s="5" t="b">
        <v>0</v>
      </c>
      <c r="AI32" s="5" t="b">
        <v>0</v>
      </c>
      <c r="AJ32" s="5" t="b">
        <v>1</v>
      </c>
      <c r="AK32" s="5" t="b">
        <v>0</v>
      </c>
      <c r="AL32" s="5" t="b">
        <v>1</v>
      </c>
      <c r="AM32" s="5">
        <v>2</v>
      </c>
      <c r="AN32" s="5" t="s">
        <v>30</v>
      </c>
      <c r="AO32" s="5" t="s">
        <v>292</v>
      </c>
      <c r="AP32" s="5" t="s">
        <v>293</v>
      </c>
      <c r="AQ32" s="5">
        <v>2</v>
      </c>
      <c r="AR32" s="5" t="s">
        <v>130</v>
      </c>
      <c r="AS32" s="5">
        <v>2</v>
      </c>
      <c r="AT32" s="5" t="s">
        <v>63</v>
      </c>
      <c r="AU32" s="5">
        <v>5</v>
      </c>
      <c r="AV32" s="5" t="s">
        <v>70</v>
      </c>
      <c r="AW32" s="5">
        <v>2</v>
      </c>
      <c r="AX32" s="5" t="s">
        <v>72</v>
      </c>
      <c r="AY32" s="5">
        <v>12</v>
      </c>
      <c r="AZ32" s="5" t="s">
        <v>80</v>
      </c>
      <c r="BA32" s="5">
        <v>2</v>
      </c>
      <c r="BB32" s="5" t="s">
        <v>84</v>
      </c>
      <c r="BC32" s="5">
        <v>3</v>
      </c>
      <c r="BD32" s="5" t="s">
        <v>90</v>
      </c>
      <c r="BE32" s="5">
        <v>2</v>
      </c>
      <c r="BF32" s="5" t="s">
        <v>92</v>
      </c>
      <c r="BG32" s="5" t="b">
        <v>1</v>
      </c>
      <c r="BH32" s="5" t="b">
        <v>0</v>
      </c>
      <c r="BI32" s="5" t="b">
        <v>1</v>
      </c>
      <c r="BJ32" s="5" t="b">
        <v>1</v>
      </c>
      <c r="BK32" s="5">
        <v>3</v>
      </c>
      <c r="BL32" s="5">
        <v>2</v>
      </c>
      <c r="BM32" s="5" t="s">
        <v>95</v>
      </c>
      <c r="BN32" s="5" t="s">
        <v>294</v>
      </c>
      <c r="BO32" s="5">
        <v>2</v>
      </c>
      <c r="BP32" s="5" t="s">
        <v>101</v>
      </c>
      <c r="BQ32" s="5" t="s">
        <v>295</v>
      </c>
      <c r="BR32" s="5">
        <v>2</v>
      </c>
      <c r="BS32" s="5" t="s">
        <v>105</v>
      </c>
      <c r="BT32" s="5">
        <v>2</v>
      </c>
      <c r="BU32" s="5" t="s">
        <v>111</v>
      </c>
      <c r="BV32" s="5">
        <v>2</v>
      </c>
      <c r="BW32" s="5" t="s">
        <v>116</v>
      </c>
      <c r="BX32" s="5">
        <v>2</v>
      </c>
      <c r="BY32" s="5" t="s">
        <v>122</v>
      </c>
      <c r="BZ32" s="5" t="b">
        <v>1</v>
      </c>
      <c r="CA32" s="5" t="b">
        <v>1</v>
      </c>
      <c r="CB32" s="5" t="b">
        <v>1</v>
      </c>
      <c r="CC32" s="5" t="b">
        <v>1</v>
      </c>
      <c r="CD32" s="5" t="b">
        <v>1</v>
      </c>
      <c r="CE32" s="5">
        <v>5</v>
      </c>
      <c r="CF32" s="5">
        <v>6</v>
      </c>
      <c r="CG32" s="5">
        <v>9</v>
      </c>
      <c r="CH32" s="5" t="s">
        <v>296</v>
      </c>
      <c r="CI32" s="5" t="s">
        <v>297</v>
      </c>
      <c r="CJ32" s="5" t="b">
        <v>1</v>
      </c>
      <c r="CK32" s="5" t="b">
        <v>0</v>
      </c>
      <c r="CL32" s="5" t="b">
        <v>0</v>
      </c>
      <c r="CM32" s="5" t="b">
        <v>1</v>
      </c>
      <c r="CN32" s="5" t="b">
        <v>0</v>
      </c>
      <c r="CO32" s="5" t="b">
        <v>0</v>
      </c>
      <c r="CP32" s="5" t="b">
        <v>0</v>
      </c>
      <c r="CQ32" s="5" t="b">
        <v>0</v>
      </c>
      <c r="CR32" s="5" t="b">
        <v>0</v>
      </c>
      <c r="CS32" s="5" t="b">
        <v>0</v>
      </c>
      <c r="CT32" s="5" t="b">
        <v>0</v>
      </c>
      <c r="CU32" s="5" t="b">
        <v>0</v>
      </c>
      <c r="CV32" s="5" t="b">
        <v>0</v>
      </c>
      <c r="CW32" s="5" t="b">
        <v>1</v>
      </c>
      <c r="CX32" s="5" t="b">
        <v>0</v>
      </c>
      <c r="CY32" s="5" t="b">
        <v>0</v>
      </c>
      <c r="CZ32" s="5" t="b">
        <v>0</v>
      </c>
      <c r="DA32" s="5" t="b">
        <v>0</v>
      </c>
      <c r="DB32" s="5" t="b">
        <v>0</v>
      </c>
      <c r="DC32" s="5" t="b">
        <v>0</v>
      </c>
      <c r="DD32" s="5" t="b">
        <v>0</v>
      </c>
      <c r="DE32" s="5" t="b">
        <v>0</v>
      </c>
      <c r="DF32" s="5" t="b">
        <v>0</v>
      </c>
      <c r="DG32" s="5" t="b">
        <v>0</v>
      </c>
      <c r="DH32" s="5" t="b">
        <v>0</v>
      </c>
      <c r="DI32" s="5" t="b">
        <v>0</v>
      </c>
      <c r="DJ32" s="5" t="b">
        <v>1</v>
      </c>
      <c r="DK32" s="5" t="s">
        <v>298</v>
      </c>
      <c r="DL32" s="5">
        <v>2</v>
      </c>
      <c r="DM32" s="5" t="s">
        <v>30</v>
      </c>
      <c r="DN32" s="5">
        <v>3</v>
      </c>
      <c r="DO32" s="5" t="s">
        <v>63</v>
      </c>
      <c r="DP32" s="5">
        <v>2</v>
      </c>
      <c r="DQ32" s="5" t="s">
        <v>63</v>
      </c>
      <c r="DR32" s="5">
        <v>4</v>
      </c>
      <c r="DS32" s="5" t="s">
        <v>77</v>
      </c>
      <c r="DT32" s="5">
        <v>7</v>
      </c>
      <c r="DU32" s="5" t="s">
        <v>66</v>
      </c>
      <c r="DV32" s="5">
        <v>8</v>
      </c>
      <c r="DW32" s="5" t="s">
        <v>81</v>
      </c>
      <c r="DX32" s="5">
        <v>2</v>
      </c>
      <c r="DY32" s="5" t="s">
        <v>84</v>
      </c>
      <c r="DZ32" s="5">
        <v>3</v>
      </c>
      <c r="EA32" s="5" t="s">
        <v>90</v>
      </c>
      <c r="EB32" s="5">
        <v>3</v>
      </c>
      <c r="EC32" s="5" t="s">
        <v>93</v>
      </c>
      <c r="ED32" s="5" t="b">
        <v>1</v>
      </c>
      <c r="EE32" s="5" t="b">
        <v>0</v>
      </c>
      <c r="EF32" s="5" t="b">
        <v>0</v>
      </c>
      <c r="EG32" s="5" t="b">
        <v>1</v>
      </c>
      <c r="EH32" s="5">
        <v>2</v>
      </c>
      <c r="EI32" s="5">
        <v>3</v>
      </c>
      <c r="EJ32" s="5" t="s">
        <v>139</v>
      </c>
    </row>
    <row r="33" spans="1:140" x14ac:dyDescent="0.25">
      <c r="A33" s="5">
        <v>32</v>
      </c>
      <c r="B33" s="11">
        <v>45032</v>
      </c>
      <c r="C33" s="12">
        <v>0.54513888888888895</v>
      </c>
      <c r="D33" s="12" t="str">
        <f t="shared" si="0"/>
        <v>32   04/16/2023   13:05</v>
      </c>
      <c r="E33" s="5">
        <v>2</v>
      </c>
      <c r="F33" s="5" t="s">
        <v>1</v>
      </c>
      <c r="G33" s="5">
        <v>50</v>
      </c>
      <c r="H33" s="5">
        <v>2</v>
      </c>
      <c r="I33" s="5" t="s">
        <v>2</v>
      </c>
      <c r="J33" s="5">
        <v>6</v>
      </c>
      <c r="K33" s="5" t="s">
        <v>15</v>
      </c>
      <c r="L33" s="5" t="b">
        <v>1</v>
      </c>
      <c r="M33" s="5" t="b">
        <v>0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1</v>
      </c>
      <c r="T33" s="5" t="b">
        <v>0</v>
      </c>
      <c r="U33" s="5" t="b">
        <v>0</v>
      </c>
      <c r="V33" s="5" t="b">
        <v>0</v>
      </c>
      <c r="W33" s="5" t="b">
        <v>0</v>
      </c>
      <c r="X33" s="5" t="b">
        <v>0</v>
      </c>
      <c r="Y33" s="5" t="b">
        <v>0</v>
      </c>
      <c r="Z33" s="5" t="b">
        <v>1</v>
      </c>
      <c r="AA33" s="5" t="b">
        <v>0</v>
      </c>
      <c r="AB33" s="5" t="b">
        <v>0</v>
      </c>
      <c r="AC33" s="5" t="b">
        <v>0</v>
      </c>
      <c r="AD33" s="5" t="b">
        <v>0</v>
      </c>
      <c r="AE33" s="5" t="b">
        <v>0</v>
      </c>
      <c r="AF33" s="5" t="b">
        <v>0</v>
      </c>
      <c r="AG33" s="5" t="b">
        <v>0</v>
      </c>
      <c r="AH33" s="5" t="b">
        <v>0</v>
      </c>
      <c r="AI33" s="5" t="b">
        <v>0</v>
      </c>
      <c r="AJ33" s="5" t="b">
        <v>1</v>
      </c>
      <c r="AK33" s="5" t="b">
        <v>0</v>
      </c>
      <c r="AL33" s="5" t="b">
        <v>1</v>
      </c>
      <c r="AM33" s="5">
        <v>2</v>
      </c>
      <c r="AN33" s="5" t="s">
        <v>30</v>
      </c>
      <c r="AO33" s="5" t="s">
        <v>292</v>
      </c>
      <c r="AP33" s="5" t="s">
        <v>293</v>
      </c>
      <c r="AQ33" s="5">
        <v>2</v>
      </c>
      <c r="AR33" s="5" t="s">
        <v>130</v>
      </c>
      <c r="AS33" s="5">
        <v>2</v>
      </c>
      <c r="AT33" s="5" t="s">
        <v>63</v>
      </c>
      <c r="AU33" s="5">
        <v>5</v>
      </c>
      <c r="AV33" s="5" t="s">
        <v>70</v>
      </c>
      <c r="AW33" s="5">
        <v>2</v>
      </c>
      <c r="AX33" s="5" t="s">
        <v>72</v>
      </c>
      <c r="AY33" s="5">
        <v>12</v>
      </c>
      <c r="AZ33" s="5" t="s">
        <v>80</v>
      </c>
      <c r="BA33" s="5">
        <v>2</v>
      </c>
      <c r="BB33" s="5" t="s">
        <v>84</v>
      </c>
      <c r="BC33" s="5">
        <v>3</v>
      </c>
      <c r="BD33" s="5" t="s">
        <v>90</v>
      </c>
      <c r="BE33" s="5">
        <v>2</v>
      </c>
      <c r="BF33" s="5" t="s">
        <v>92</v>
      </c>
      <c r="BG33" s="5" t="b">
        <v>1</v>
      </c>
      <c r="BH33" s="5" t="b">
        <v>0</v>
      </c>
      <c r="BI33" s="5" t="b">
        <v>1</v>
      </c>
      <c r="BJ33" s="5" t="b">
        <v>1</v>
      </c>
      <c r="BK33" s="5">
        <v>3</v>
      </c>
      <c r="BL33" s="5">
        <v>2</v>
      </c>
      <c r="BM33" s="5" t="s">
        <v>95</v>
      </c>
      <c r="BN33" s="5" t="s">
        <v>294</v>
      </c>
      <c r="BO33" s="5">
        <v>2</v>
      </c>
      <c r="BP33" s="5" t="s">
        <v>101</v>
      </c>
      <c r="BQ33" s="5" t="s">
        <v>295</v>
      </c>
      <c r="BR33" s="5">
        <v>2</v>
      </c>
      <c r="BS33" s="5" t="s">
        <v>105</v>
      </c>
      <c r="BT33" s="5">
        <v>2</v>
      </c>
      <c r="BU33" s="5" t="s">
        <v>111</v>
      </c>
      <c r="BV33" s="5">
        <v>2</v>
      </c>
      <c r="BW33" s="5" t="s">
        <v>116</v>
      </c>
      <c r="BX33" s="5">
        <v>2</v>
      </c>
      <c r="BY33" s="5" t="s">
        <v>122</v>
      </c>
      <c r="BZ33" s="5" t="b">
        <v>1</v>
      </c>
      <c r="CA33" s="5" t="b">
        <v>1</v>
      </c>
      <c r="CB33" s="5" t="b">
        <v>1</v>
      </c>
      <c r="CC33" s="5" t="b">
        <v>1</v>
      </c>
      <c r="CD33" s="5" t="b">
        <v>1</v>
      </c>
      <c r="CE33" s="5">
        <v>5</v>
      </c>
      <c r="CF33" s="5">
        <v>6</v>
      </c>
      <c r="CG33" s="5">
        <v>9</v>
      </c>
      <c r="CH33" s="5" t="s">
        <v>296</v>
      </c>
      <c r="CI33" s="5" t="s">
        <v>297</v>
      </c>
      <c r="CJ33" s="5" t="b">
        <v>1</v>
      </c>
      <c r="CK33" s="5" t="b">
        <v>0</v>
      </c>
      <c r="CL33" s="5" t="b">
        <v>0</v>
      </c>
      <c r="CM33" s="5" t="b">
        <v>1</v>
      </c>
      <c r="CN33" s="5" t="b">
        <v>0</v>
      </c>
      <c r="CO33" s="5" t="b">
        <v>0</v>
      </c>
      <c r="CP33" s="5" t="b">
        <v>0</v>
      </c>
      <c r="CQ33" s="5" t="b">
        <v>0</v>
      </c>
      <c r="CR33" s="5" t="b">
        <v>0</v>
      </c>
      <c r="CS33" s="5" t="b">
        <v>0</v>
      </c>
      <c r="CT33" s="5" t="b">
        <v>0</v>
      </c>
      <c r="CU33" s="5" t="b">
        <v>0</v>
      </c>
      <c r="CV33" s="5" t="b">
        <v>0</v>
      </c>
      <c r="CW33" s="5" t="b">
        <v>1</v>
      </c>
      <c r="CX33" s="5" t="b">
        <v>0</v>
      </c>
      <c r="CY33" s="5" t="b">
        <v>0</v>
      </c>
      <c r="CZ33" s="5" t="b">
        <v>0</v>
      </c>
      <c r="DA33" s="5" t="b">
        <v>0</v>
      </c>
      <c r="DB33" s="5" t="b">
        <v>0</v>
      </c>
      <c r="DC33" s="5" t="b">
        <v>0</v>
      </c>
      <c r="DD33" s="5" t="b">
        <v>0</v>
      </c>
      <c r="DE33" s="5" t="b">
        <v>0</v>
      </c>
      <c r="DF33" s="5" t="b">
        <v>0</v>
      </c>
      <c r="DG33" s="5" t="b">
        <v>0</v>
      </c>
      <c r="DH33" s="5" t="b">
        <v>0</v>
      </c>
      <c r="DI33" s="5" t="b">
        <v>0</v>
      </c>
      <c r="DJ33" s="5" t="b">
        <v>1</v>
      </c>
      <c r="DK33" s="5" t="s">
        <v>298</v>
      </c>
      <c r="DL33" s="5">
        <v>2</v>
      </c>
      <c r="DM33" s="5" t="s">
        <v>30</v>
      </c>
      <c r="DN33" s="5">
        <v>3</v>
      </c>
      <c r="DO33" s="5" t="s">
        <v>63</v>
      </c>
      <c r="DP33" s="5">
        <v>2</v>
      </c>
      <c r="DQ33" s="5" t="s">
        <v>63</v>
      </c>
      <c r="DR33" s="5">
        <v>4</v>
      </c>
      <c r="DS33" s="5" t="s">
        <v>77</v>
      </c>
      <c r="DT33" s="5">
        <v>7</v>
      </c>
      <c r="DU33" s="5" t="s">
        <v>66</v>
      </c>
      <c r="DV33" s="5">
        <v>8</v>
      </c>
      <c r="DW33" s="5" t="s">
        <v>81</v>
      </c>
      <c r="DX33" s="5">
        <v>2</v>
      </c>
      <c r="DY33" s="5" t="s">
        <v>84</v>
      </c>
      <c r="DZ33" s="5">
        <v>3</v>
      </c>
      <c r="EA33" s="5" t="s">
        <v>90</v>
      </c>
      <c r="EB33" s="5">
        <v>3</v>
      </c>
      <c r="EC33" s="5" t="s">
        <v>93</v>
      </c>
      <c r="ED33" s="5" t="b">
        <v>1</v>
      </c>
      <c r="EE33" s="5" t="b">
        <v>0</v>
      </c>
      <c r="EF33" s="5" t="b">
        <v>0</v>
      </c>
      <c r="EG33" s="5" t="b">
        <v>1</v>
      </c>
      <c r="EH33" s="5">
        <v>2</v>
      </c>
      <c r="EI33" s="5">
        <v>3</v>
      </c>
      <c r="EJ33" s="5" t="s">
        <v>139</v>
      </c>
    </row>
    <row r="34" spans="1:140" x14ac:dyDescent="0.25">
      <c r="A34" s="5">
        <v>33</v>
      </c>
      <c r="B34" s="11">
        <v>45032</v>
      </c>
      <c r="C34" s="12">
        <v>0.54513888888888895</v>
      </c>
      <c r="D34" s="12" t="str">
        <f t="shared" ref="D34:D50" si="1">CONCATENATE(A34, "   ", TEXT(B34, "mm/dd/yyyy"),"   ",TEXT(C34,"hh:mm"))</f>
        <v>33   04/16/2023   13:05</v>
      </c>
      <c r="E34" s="5">
        <v>2</v>
      </c>
      <c r="F34" s="5" t="s">
        <v>1</v>
      </c>
      <c r="G34" s="5">
        <v>50</v>
      </c>
      <c r="H34" s="5">
        <v>2</v>
      </c>
      <c r="I34" s="5" t="s">
        <v>2</v>
      </c>
      <c r="J34" s="5">
        <v>6</v>
      </c>
      <c r="K34" s="5" t="s">
        <v>15</v>
      </c>
      <c r="L34" s="5" t="b">
        <v>1</v>
      </c>
      <c r="M34" s="5" t="b">
        <v>0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1</v>
      </c>
      <c r="T34" s="5" t="b">
        <v>0</v>
      </c>
      <c r="U34" s="5" t="b">
        <v>0</v>
      </c>
      <c r="V34" s="5" t="b">
        <v>0</v>
      </c>
      <c r="W34" s="5" t="b">
        <v>0</v>
      </c>
      <c r="X34" s="5" t="b">
        <v>0</v>
      </c>
      <c r="Y34" s="5" t="b">
        <v>0</v>
      </c>
      <c r="Z34" s="5" t="b">
        <v>1</v>
      </c>
      <c r="AA34" s="5" t="b">
        <v>0</v>
      </c>
      <c r="AB34" s="5" t="b">
        <v>0</v>
      </c>
      <c r="AC34" s="5" t="b">
        <v>0</v>
      </c>
      <c r="AD34" s="5" t="b">
        <v>0</v>
      </c>
      <c r="AE34" s="5" t="b">
        <v>0</v>
      </c>
      <c r="AF34" s="5" t="b">
        <v>0</v>
      </c>
      <c r="AG34" s="5" t="b">
        <v>0</v>
      </c>
      <c r="AH34" s="5" t="b">
        <v>0</v>
      </c>
      <c r="AI34" s="5" t="b">
        <v>0</v>
      </c>
      <c r="AJ34" s="5" t="b">
        <v>1</v>
      </c>
      <c r="AK34" s="5" t="b">
        <v>0</v>
      </c>
      <c r="AL34" s="5" t="b">
        <v>1</v>
      </c>
      <c r="AM34" s="5">
        <v>2</v>
      </c>
      <c r="AN34" s="5" t="s">
        <v>30</v>
      </c>
      <c r="AO34" s="5" t="s">
        <v>292</v>
      </c>
      <c r="AP34" s="5" t="s">
        <v>293</v>
      </c>
      <c r="AQ34" s="5">
        <v>2</v>
      </c>
      <c r="AR34" s="5" t="s">
        <v>130</v>
      </c>
      <c r="AS34" s="5">
        <v>2</v>
      </c>
      <c r="AT34" s="5" t="s">
        <v>63</v>
      </c>
      <c r="AU34" s="5">
        <v>5</v>
      </c>
      <c r="AV34" s="5" t="s">
        <v>70</v>
      </c>
      <c r="AW34" s="5">
        <v>2</v>
      </c>
      <c r="AX34" s="5" t="s">
        <v>72</v>
      </c>
      <c r="AY34" s="5">
        <v>12</v>
      </c>
      <c r="AZ34" s="5" t="s">
        <v>80</v>
      </c>
      <c r="BA34" s="5">
        <v>2</v>
      </c>
      <c r="BB34" s="5" t="s">
        <v>84</v>
      </c>
      <c r="BC34" s="5">
        <v>3</v>
      </c>
      <c r="BD34" s="5" t="s">
        <v>90</v>
      </c>
      <c r="BE34" s="5">
        <v>2</v>
      </c>
      <c r="BF34" s="5" t="s">
        <v>92</v>
      </c>
      <c r="BG34" s="5" t="b">
        <v>1</v>
      </c>
      <c r="BH34" s="5" t="b">
        <v>0</v>
      </c>
      <c r="BI34" s="5" t="b">
        <v>1</v>
      </c>
      <c r="BJ34" s="5" t="b">
        <v>1</v>
      </c>
      <c r="BK34" s="5">
        <v>3</v>
      </c>
      <c r="BL34" s="5">
        <v>2</v>
      </c>
      <c r="BM34" s="5" t="s">
        <v>95</v>
      </c>
      <c r="BN34" s="5" t="s">
        <v>294</v>
      </c>
      <c r="BO34" s="5">
        <v>2</v>
      </c>
      <c r="BP34" s="5" t="s">
        <v>101</v>
      </c>
      <c r="BQ34" s="5" t="s">
        <v>295</v>
      </c>
      <c r="BR34" s="5">
        <v>2</v>
      </c>
      <c r="BS34" s="5" t="s">
        <v>105</v>
      </c>
      <c r="BT34" s="5">
        <v>2</v>
      </c>
      <c r="BU34" s="5" t="s">
        <v>111</v>
      </c>
      <c r="BV34" s="5">
        <v>2</v>
      </c>
      <c r="BW34" s="5" t="s">
        <v>116</v>
      </c>
      <c r="BX34" s="5">
        <v>2</v>
      </c>
      <c r="BY34" s="5" t="s">
        <v>122</v>
      </c>
      <c r="BZ34" s="5" t="b">
        <v>1</v>
      </c>
      <c r="CA34" s="5" t="b">
        <v>1</v>
      </c>
      <c r="CB34" s="5" t="b">
        <v>1</v>
      </c>
      <c r="CC34" s="5" t="b">
        <v>1</v>
      </c>
      <c r="CD34" s="5" t="b">
        <v>1</v>
      </c>
      <c r="CE34" s="5">
        <v>5</v>
      </c>
      <c r="CF34" s="5">
        <v>6</v>
      </c>
      <c r="CG34" s="5">
        <v>9</v>
      </c>
      <c r="CH34" s="5" t="s">
        <v>296</v>
      </c>
      <c r="CI34" s="5" t="s">
        <v>297</v>
      </c>
      <c r="CJ34" s="5" t="b">
        <v>1</v>
      </c>
      <c r="CK34" s="5" t="b">
        <v>0</v>
      </c>
      <c r="CL34" s="5" t="b">
        <v>0</v>
      </c>
      <c r="CM34" s="5" t="b">
        <v>1</v>
      </c>
      <c r="CN34" s="5" t="b">
        <v>0</v>
      </c>
      <c r="CO34" s="5" t="b">
        <v>0</v>
      </c>
      <c r="CP34" s="5" t="b">
        <v>0</v>
      </c>
      <c r="CQ34" s="5" t="b">
        <v>0</v>
      </c>
      <c r="CR34" s="5" t="b">
        <v>0</v>
      </c>
      <c r="CS34" s="5" t="b">
        <v>0</v>
      </c>
      <c r="CT34" s="5" t="b">
        <v>0</v>
      </c>
      <c r="CU34" s="5" t="b">
        <v>0</v>
      </c>
      <c r="CV34" s="5" t="b">
        <v>0</v>
      </c>
      <c r="CW34" s="5" t="b">
        <v>1</v>
      </c>
      <c r="CX34" s="5" t="b">
        <v>0</v>
      </c>
      <c r="CY34" s="5" t="b">
        <v>0</v>
      </c>
      <c r="CZ34" s="5" t="b">
        <v>0</v>
      </c>
      <c r="DA34" s="5" t="b">
        <v>0</v>
      </c>
      <c r="DB34" s="5" t="b">
        <v>0</v>
      </c>
      <c r="DC34" s="5" t="b">
        <v>0</v>
      </c>
      <c r="DD34" s="5" t="b">
        <v>0</v>
      </c>
      <c r="DE34" s="5" t="b">
        <v>0</v>
      </c>
      <c r="DF34" s="5" t="b">
        <v>0</v>
      </c>
      <c r="DG34" s="5" t="b">
        <v>0</v>
      </c>
      <c r="DH34" s="5" t="b">
        <v>0</v>
      </c>
      <c r="DI34" s="5" t="b">
        <v>0</v>
      </c>
      <c r="DJ34" s="5" t="b">
        <v>1</v>
      </c>
      <c r="DK34" s="5" t="s">
        <v>298</v>
      </c>
      <c r="DL34" s="5">
        <v>2</v>
      </c>
      <c r="DM34" s="5" t="s">
        <v>30</v>
      </c>
      <c r="DN34" s="5">
        <v>3</v>
      </c>
      <c r="DO34" s="5" t="s">
        <v>63</v>
      </c>
      <c r="DP34" s="5">
        <v>2</v>
      </c>
      <c r="DQ34" s="5" t="s">
        <v>63</v>
      </c>
      <c r="DR34" s="5">
        <v>4</v>
      </c>
      <c r="DS34" s="5" t="s">
        <v>77</v>
      </c>
      <c r="DT34" s="5">
        <v>7</v>
      </c>
      <c r="DU34" s="5" t="s">
        <v>66</v>
      </c>
      <c r="DV34" s="5">
        <v>8</v>
      </c>
      <c r="DW34" s="5" t="s">
        <v>81</v>
      </c>
      <c r="DX34" s="5">
        <v>2</v>
      </c>
      <c r="DY34" s="5" t="s">
        <v>84</v>
      </c>
      <c r="DZ34" s="5">
        <v>3</v>
      </c>
      <c r="EA34" s="5" t="s">
        <v>90</v>
      </c>
      <c r="EB34" s="5">
        <v>3</v>
      </c>
      <c r="EC34" s="5" t="s">
        <v>93</v>
      </c>
      <c r="ED34" s="5" t="b">
        <v>1</v>
      </c>
      <c r="EE34" s="5" t="b">
        <v>0</v>
      </c>
      <c r="EF34" s="5" t="b">
        <v>0</v>
      </c>
      <c r="EG34" s="5" t="b">
        <v>1</v>
      </c>
      <c r="EH34" s="5">
        <v>2</v>
      </c>
      <c r="EI34" s="5">
        <v>3</v>
      </c>
      <c r="EJ34" s="5" t="s">
        <v>139</v>
      </c>
    </row>
    <row r="35" spans="1:140" x14ac:dyDescent="0.25">
      <c r="A35" s="5">
        <v>34</v>
      </c>
      <c r="B35" s="11">
        <v>45032</v>
      </c>
      <c r="C35" s="12">
        <v>0.54513888888888895</v>
      </c>
      <c r="D35" s="12" t="str">
        <f t="shared" si="1"/>
        <v>34   04/16/2023   13:05</v>
      </c>
      <c r="E35" s="5">
        <v>2</v>
      </c>
      <c r="F35" s="5" t="s">
        <v>1</v>
      </c>
      <c r="G35" s="5">
        <v>50</v>
      </c>
      <c r="H35" s="5">
        <v>2</v>
      </c>
      <c r="I35" s="5" t="s">
        <v>2</v>
      </c>
      <c r="J35" s="5">
        <v>6</v>
      </c>
      <c r="K35" s="5" t="s">
        <v>15</v>
      </c>
      <c r="L35" s="5" t="b">
        <v>1</v>
      </c>
      <c r="M35" s="5" t="b">
        <v>0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1</v>
      </c>
      <c r="T35" s="5" t="b">
        <v>0</v>
      </c>
      <c r="U35" s="5" t="b">
        <v>0</v>
      </c>
      <c r="V35" s="5" t="b">
        <v>0</v>
      </c>
      <c r="W35" s="5" t="b">
        <v>0</v>
      </c>
      <c r="X35" s="5" t="b">
        <v>0</v>
      </c>
      <c r="Y35" s="5" t="b">
        <v>0</v>
      </c>
      <c r="Z35" s="5" t="b">
        <v>1</v>
      </c>
      <c r="AA35" s="5" t="b">
        <v>0</v>
      </c>
      <c r="AB35" s="5" t="b">
        <v>0</v>
      </c>
      <c r="AC35" s="5" t="b">
        <v>0</v>
      </c>
      <c r="AD35" s="5" t="b">
        <v>0</v>
      </c>
      <c r="AE35" s="5" t="b">
        <v>0</v>
      </c>
      <c r="AF35" s="5" t="b">
        <v>0</v>
      </c>
      <c r="AG35" s="5" t="b">
        <v>0</v>
      </c>
      <c r="AH35" s="5" t="b">
        <v>0</v>
      </c>
      <c r="AI35" s="5" t="b">
        <v>0</v>
      </c>
      <c r="AJ35" s="5" t="b">
        <v>1</v>
      </c>
      <c r="AK35" s="5" t="b">
        <v>0</v>
      </c>
      <c r="AL35" s="5" t="b">
        <v>1</v>
      </c>
      <c r="AM35" s="5">
        <v>2</v>
      </c>
      <c r="AN35" s="5" t="s">
        <v>30</v>
      </c>
      <c r="AO35" s="5" t="s">
        <v>292</v>
      </c>
      <c r="AP35" s="5" t="s">
        <v>293</v>
      </c>
      <c r="AQ35" s="5">
        <v>2</v>
      </c>
      <c r="AR35" s="5" t="s">
        <v>130</v>
      </c>
      <c r="AS35" s="5">
        <v>2</v>
      </c>
      <c r="AT35" s="5" t="s">
        <v>63</v>
      </c>
      <c r="AU35" s="5">
        <v>5</v>
      </c>
      <c r="AV35" s="5" t="s">
        <v>70</v>
      </c>
      <c r="AW35" s="5">
        <v>2</v>
      </c>
      <c r="AX35" s="5" t="s">
        <v>72</v>
      </c>
      <c r="AY35" s="5">
        <v>12</v>
      </c>
      <c r="AZ35" s="5" t="s">
        <v>80</v>
      </c>
      <c r="BA35" s="5">
        <v>2</v>
      </c>
      <c r="BB35" s="5" t="s">
        <v>84</v>
      </c>
      <c r="BC35" s="5">
        <v>3</v>
      </c>
      <c r="BD35" s="5" t="s">
        <v>90</v>
      </c>
      <c r="BE35" s="5">
        <v>2</v>
      </c>
      <c r="BF35" s="5" t="s">
        <v>92</v>
      </c>
      <c r="BG35" s="5" t="b">
        <v>1</v>
      </c>
      <c r="BH35" s="5" t="b">
        <v>0</v>
      </c>
      <c r="BI35" s="5" t="b">
        <v>1</v>
      </c>
      <c r="BJ35" s="5" t="b">
        <v>1</v>
      </c>
      <c r="BK35" s="5">
        <v>3</v>
      </c>
      <c r="BL35" s="5">
        <v>2</v>
      </c>
      <c r="BM35" s="5" t="s">
        <v>95</v>
      </c>
      <c r="BN35" s="5" t="s">
        <v>294</v>
      </c>
      <c r="BO35" s="5">
        <v>2</v>
      </c>
      <c r="BP35" s="5" t="s">
        <v>101</v>
      </c>
      <c r="BQ35" s="5" t="s">
        <v>295</v>
      </c>
      <c r="BR35" s="5">
        <v>2</v>
      </c>
      <c r="BS35" s="5" t="s">
        <v>105</v>
      </c>
      <c r="BT35" s="5">
        <v>2</v>
      </c>
      <c r="BU35" s="5" t="s">
        <v>111</v>
      </c>
      <c r="BV35" s="5">
        <v>2</v>
      </c>
      <c r="BW35" s="5" t="s">
        <v>116</v>
      </c>
      <c r="BX35" s="5">
        <v>2</v>
      </c>
      <c r="BY35" s="5" t="s">
        <v>122</v>
      </c>
      <c r="BZ35" s="5" t="b">
        <v>1</v>
      </c>
      <c r="CA35" s="5" t="b">
        <v>1</v>
      </c>
      <c r="CB35" s="5" t="b">
        <v>1</v>
      </c>
      <c r="CC35" s="5" t="b">
        <v>1</v>
      </c>
      <c r="CD35" s="5" t="b">
        <v>1</v>
      </c>
      <c r="CE35" s="5">
        <v>5</v>
      </c>
      <c r="CF35" s="5">
        <v>6</v>
      </c>
      <c r="CG35" s="5">
        <v>9</v>
      </c>
      <c r="CH35" s="5" t="s">
        <v>296</v>
      </c>
      <c r="CI35" s="5" t="s">
        <v>297</v>
      </c>
      <c r="CJ35" s="5" t="b">
        <v>1</v>
      </c>
      <c r="CK35" s="5" t="b">
        <v>0</v>
      </c>
      <c r="CL35" s="5" t="b">
        <v>0</v>
      </c>
      <c r="CM35" s="5" t="b">
        <v>1</v>
      </c>
      <c r="CN35" s="5" t="b">
        <v>0</v>
      </c>
      <c r="CO35" s="5" t="b">
        <v>0</v>
      </c>
      <c r="CP35" s="5" t="b">
        <v>0</v>
      </c>
      <c r="CQ35" s="5" t="b">
        <v>0</v>
      </c>
      <c r="CR35" s="5" t="b">
        <v>0</v>
      </c>
      <c r="CS35" s="5" t="b">
        <v>0</v>
      </c>
      <c r="CT35" s="5" t="b">
        <v>0</v>
      </c>
      <c r="CU35" s="5" t="b">
        <v>0</v>
      </c>
      <c r="CV35" s="5" t="b">
        <v>0</v>
      </c>
      <c r="CW35" s="5" t="b">
        <v>1</v>
      </c>
      <c r="CX35" s="5" t="b">
        <v>0</v>
      </c>
      <c r="CY35" s="5" t="b">
        <v>0</v>
      </c>
      <c r="CZ35" s="5" t="b">
        <v>0</v>
      </c>
      <c r="DA35" s="5" t="b">
        <v>0</v>
      </c>
      <c r="DB35" s="5" t="b">
        <v>0</v>
      </c>
      <c r="DC35" s="5" t="b">
        <v>0</v>
      </c>
      <c r="DD35" s="5" t="b">
        <v>0</v>
      </c>
      <c r="DE35" s="5" t="b">
        <v>0</v>
      </c>
      <c r="DF35" s="5" t="b">
        <v>0</v>
      </c>
      <c r="DG35" s="5" t="b">
        <v>0</v>
      </c>
      <c r="DH35" s="5" t="b">
        <v>0</v>
      </c>
      <c r="DI35" s="5" t="b">
        <v>0</v>
      </c>
      <c r="DJ35" s="5" t="b">
        <v>1</v>
      </c>
      <c r="DK35" s="5" t="s">
        <v>298</v>
      </c>
      <c r="DL35" s="5">
        <v>2</v>
      </c>
      <c r="DM35" s="5" t="s">
        <v>30</v>
      </c>
      <c r="DN35" s="5">
        <v>3</v>
      </c>
      <c r="DO35" s="5" t="s">
        <v>63</v>
      </c>
      <c r="DP35" s="5">
        <v>2</v>
      </c>
      <c r="DQ35" s="5" t="s">
        <v>63</v>
      </c>
      <c r="DR35" s="5">
        <v>4</v>
      </c>
      <c r="DS35" s="5" t="s">
        <v>77</v>
      </c>
      <c r="DT35" s="5">
        <v>7</v>
      </c>
      <c r="DU35" s="5" t="s">
        <v>66</v>
      </c>
      <c r="DV35" s="5">
        <v>8</v>
      </c>
      <c r="DW35" s="5" t="s">
        <v>81</v>
      </c>
      <c r="DX35" s="5">
        <v>2</v>
      </c>
      <c r="DY35" s="5" t="s">
        <v>84</v>
      </c>
      <c r="DZ35" s="5">
        <v>3</v>
      </c>
      <c r="EA35" s="5" t="s">
        <v>90</v>
      </c>
      <c r="EB35" s="5">
        <v>3</v>
      </c>
      <c r="EC35" s="5" t="s">
        <v>93</v>
      </c>
      <c r="ED35" s="5" t="b">
        <v>1</v>
      </c>
      <c r="EE35" s="5" t="b">
        <v>0</v>
      </c>
      <c r="EF35" s="5" t="b">
        <v>0</v>
      </c>
      <c r="EG35" s="5" t="b">
        <v>1</v>
      </c>
      <c r="EH35" s="5">
        <v>2</v>
      </c>
      <c r="EI35" s="5">
        <v>3</v>
      </c>
      <c r="EJ35" s="5" t="s">
        <v>139</v>
      </c>
    </row>
    <row r="36" spans="1:140" x14ac:dyDescent="0.25">
      <c r="A36" s="5">
        <v>35</v>
      </c>
      <c r="B36" s="11">
        <v>45032</v>
      </c>
      <c r="C36" s="12">
        <v>0.54513888888888895</v>
      </c>
      <c r="D36" s="12" t="str">
        <f t="shared" si="1"/>
        <v>35   04/16/2023   13:05</v>
      </c>
      <c r="E36" s="5">
        <v>2</v>
      </c>
      <c r="F36" s="5" t="s">
        <v>1</v>
      </c>
      <c r="G36" s="5">
        <v>50</v>
      </c>
      <c r="H36" s="5">
        <v>2</v>
      </c>
      <c r="I36" s="5" t="s">
        <v>2</v>
      </c>
      <c r="J36" s="5">
        <v>6</v>
      </c>
      <c r="K36" s="5" t="s">
        <v>15</v>
      </c>
      <c r="L36" s="5" t="b">
        <v>1</v>
      </c>
      <c r="M36" s="5" t="b">
        <v>0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1</v>
      </c>
      <c r="T36" s="5" t="b">
        <v>0</v>
      </c>
      <c r="U36" s="5" t="b">
        <v>0</v>
      </c>
      <c r="V36" s="5" t="b">
        <v>0</v>
      </c>
      <c r="W36" s="5" t="b">
        <v>0</v>
      </c>
      <c r="X36" s="5" t="b">
        <v>0</v>
      </c>
      <c r="Y36" s="5" t="b">
        <v>0</v>
      </c>
      <c r="Z36" s="5" t="b">
        <v>1</v>
      </c>
      <c r="AA36" s="5" t="b">
        <v>0</v>
      </c>
      <c r="AB36" s="5" t="b">
        <v>0</v>
      </c>
      <c r="AC36" s="5" t="b">
        <v>0</v>
      </c>
      <c r="AD36" s="5" t="b">
        <v>0</v>
      </c>
      <c r="AE36" s="5" t="b">
        <v>0</v>
      </c>
      <c r="AF36" s="5" t="b">
        <v>0</v>
      </c>
      <c r="AG36" s="5" t="b">
        <v>0</v>
      </c>
      <c r="AH36" s="5" t="b">
        <v>0</v>
      </c>
      <c r="AI36" s="5" t="b">
        <v>0</v>
      </c>
      <c r="AJ36" s="5" t="b">
        <v>1</v>
      </c>
      <c r="AK36" s="5" t="b">
        <v>0</v>
      </c>
      <c r="AL36" s="5" t="b">
        <v>1</v>
      </c>
      <c r="AM36" s="5">
        <v>2</v>
      </c>
      <c r="AN36" s="5" t="s">
        <v>30</v>
      </c>
      <c r="AO36" s="5" t="s">
        <v>292</v>
      </c>
      <c r="AP36" s="5" t="s">
        <v>293</v>
      </c>
      <c r="AQ36" s="5">
        <v>2</v>
      </c>
      <c r="AR36" s="5" t="s">
        <v>130</v>
      </c>
      <c r="AS36" s="5">
        <v>2</v>
      </c>
      <c r="AT36" s="5" t="s">
        <v>63</v>
      </c>
      <c r="AU36" s="5">
        <v>5</v>
      </c>
      <c r="AV36" s="5" t="s">
        <v>70</v>
      </c>
      <c r="AW36" s="5">
        <v>2</v>
      </c>
      <c r="AX36" s="5" t="s">
        <v>72</v>
      </c>
      <c r="AY36" s="5">
        <v>12</v>
      </c>
      <c r="AZ36" s="5" t="s">
        <v>80</v>
      </c>
      <c r="BA36" s="5">
        <v>2</v>
      </c>
      <c r="BB36" s="5" t="s">
        <v>84</v>
      </c>
      <c r="BC36" s="5">
        <v>3</v>
      </c>
      <c r="BD36" s="5" t="s">
        <v>90</v>
      </c>
      <c r="BE36" s="5">
        <v>2</v>
      </c>
      <c r="BF36" s="5" t="s">
        <v>92</v>
      </c>
      <c r="BG36" s="5" t="b">
        <v>1</v>
      </c>
      <c r="BH36" s="5" t="b">
        <v>0</v>
      </c>
      <c r="BI36" s="5" t="b">
        <v>1</v>
      </c>
      <c r="BJ36" s="5" t="b">
        <v>1</v>
      </c>
      <c r="BK36" s="5">
        <v>3</v>
      </c>
      <c r="BL36" s="5">
        <v>2</v>
      </c>
      <c r="BM36" s="5" t="s">
        <v>95</v>
      </c>
      <c r="BN36" s="5" t="s">
        <v>294</v>
      </c>
      <c r="BO36" s="5">
        <v>2</v>
      </c>
      <c r="BP36" s="5" t="s">
        <v>101</v>
      </c>
      <c r="BQ36" s="5" t="s">
        <v>295</v>
      </c>
      <c r="BR36" s="5">
        <v>2</v>
      </c>
      <c r="BS36" s="5" t="s">
        <v>105</v>
      </c>
      <c r="BT36" s="5">
        <v>2</v>
      </c>
      <c r="BU36" s="5" t="s">
        <v>111</v>
      </c>
      <c r="BV36" s="5">
        <v>2</v>
      </c>
      <c r="BW36" s="5" t="s">
        <v>116</v>
      </c>
      <c r="BX36" s="5">
        <v>2</v>
      </c>
      <c r="BY36" s="5" t="s">
        <v>122</v>
      </c>
      <c r="BZ36" s="5" t="b">
        <v>1</v>
      </c>
      <c r="CA36" s="5" t="b">
        <v>1</v>
      </c>
      <c r="CB36" s="5" t="b">
        <v>1</v>
      </c>
      <c r="CC36" s="5" t="b">
        <v>1</v>
      </c>
      <c r="CD36" s="5" t="b">
        <v>1</v>
      </c>
      <c r="CE36" s="5">
        <v>5</v>
      </c>
      <c r="CF36" s="5">
        <v>6</v>
      </c>
      <c r="CG36" s="5">
        <v>9</v>
      </c>
      <c r="CH36" s="5" t="s">
        <v>296</v>
      </c>
      <c r="CI36" s="5" t="s">
        <v>297</v>
      </c>
      <c r="CJ36" s="5" t="b">
        <v>1</v>
      </c>
      <c r="CK36" s="5" t="b">
        <v>0</v>
      </c>
      <c r="CL36" s="5" t="b">
        <v>0</v>
      </c>
      <c r="CM36" s="5" t="b">
        <v>1</v>
      </c>
      <c r="CN36" s="5" t="b">
        <v>0</v>
      </c>
      <c r="CO36" s="5" t="b">
        <v>0</v>
      </c>
      <c r="CP36" s="5" t="b">
        <v>0</v>
      </c>
      <c r="CQ36" s="5" t="b">
        <v>0</v>
      </c>
      <c r="CR36" s="5" t="b">
        <v>0</v>
      </c>
      <c r="CS36" s="5" t="b">
        <v>0</v>
      </c>
      <c r="CT36" s="5" t="b">
        <v>0</v>
      </c>
      <c r="CU36" s="5" t="b">
        <v>0</v>
      </c>
      <c r="CV36" s="5" t="b">
        <v>0</v>
      </c>
      <c r="CW36" s="5" t="b">
        <v>1</v>
      </c>
      <c r="CX36" s="5" t="b">
        <v>0</v>
      </c>
      <c r="CY36" s="5" t="b">
        <v>0</v>
      </c>
      <c r="CZ36" s="5" t="b">
        <v>0</v>
      </c>
      <c r="DA36" s="5" t="b">
        <v>0</v>
      </c>
      <c r="DB36" s="5" t="b">
        <v>0</v>
      </c>
      <c r="DC36" s="5" t="b">
        <v>0</v>
      </c>
      <c r="DD36" s="5" t="b">
        <v>0</v>
      </c>
      <c r="DE36" s="5" t="b">
        <v>0</v>
      </c>
      <c r="DF36" s="5" t="b">
        <v>0</v>
      </c>
      <c r="DG36" s="5" t="b">
        <v>0</v>
      </c>
      <c r="DH36" s="5" t="b">
        <v>0</v>
      </c>
      <c r="DI36" s="5" t="b">
        <v>0</v>
      </c>
      <c r="DJ36" s="5" t="b">
        <v>1</v>
      </c>
      <c r="DK36" s="5" t="s">
        <v>298</v>
      </c>
      <c r="DL36" s="5">
        <v>2</v>
      </c>
      <c r="DM36" s="5" t="s">
        <v>30</v>
      </c>
      <c r="DN36" s="5">
        <v>3</v>
      </c>
      <c r="DO36" s="5" t="s">
        <v>63</v>
      </c>
      <c r="DP36" s="5">
        <v>2</v>
      </c>
      <c r="DQ36" s="5" t="s">
        <v>63</v>
      </c>
      <c r="DR36" s="5">
        <v>4</v>
      </c>
      <c r="DS36" s="5" t="s">
        <v>77</v>
      </c>
      <c r="DT36" s="5">
        <v>7</v>
      </c>
      <c r="DU36" s="5" t="s">
        <v>66</v>
      </c>
      <c r="DV36" s="5">
        <v>8</v>
      </c>
      <c r="DW36" s="5" t="s">
        <v>81</v>
      </c>
      <c r="DX36" s="5">
        <v>2</v>
      </c>
      <c r="DY36" s="5" t="s">
        <v>84</v>
      </c>
      <c r="DZ36" s="5">
        <v>3</v>
      </c>
      <c r="EA36" s="5" t="s">
        <v>90</v>
      </c>
      <c r="EB36" s="5">
        <v>3</v>
      </c>
      <c r="EC36" s="5" t="s">
        <v>93</v>
      </c>
      <c r="ED36" s="5" t="b">
        <v>1</v>
      </c>
      <c r="EE36" s="5" t="b">
        <v>0</v>
      </c>
      <c r="EF36" s="5" t="b">
        <v>0</v>
      </c>
      <c r="EG36" s="5" t="b">
        <v>1</v>
      </c>
      <c r="EH36" s="5">
        <v>2</v>
      </c>
      <c r="EI36" s="5">
        <v>3</v>
      </c>
      <c r="EJ36" s="5" t="s">
        <v>139</v>
      </c>
    </row>
    <row r="37" spans="1:140" x14ac:dyDescent="0.25">
      <c r="A37" s="5">
        <v>36</v>
      </c>
      <c r="B37" s="11">
        <v>45032</v>
      </c>
      <c r="C37" s="12">
        <v>0.54513888888888895</v>
      </c>
      <c r="D37" s="12" t="str">
        <f t="shared" si="1"/>
        <v>36   04/16/2023   13:05</v>
      </c>
      <c r="E37" s="5">
        <v>2</v>
      </c>
      <c r="F37" s="5" t="s">
        <v>1</v>
      </c>
      <c r="G37" s="5">
        <v>50</v>
      </c>
      <c r="H37" s="5">
        <v>2</v>
      </c>
      <c r="I37" s="5" t="s">
        <v>2</v>
      </c>
      <c r="J37" s="5">
        <v>6</v>
      </c>
      <c r="K37" s="5" t="s">
        <v>15</v>
      </c>
      <c r="L37" s="5" t="b">
        <v>1</v>
      </c>
      <c r="M37" s="5" t="b">
        <v>0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1</v>
      </c>
      <c r="T37" s="5" t="b">
        <v>0</v>
      </c>
      <c r="U37" s="5" t="b">
        <v>0</v>
      </c>
      <c r="V37" s="5" t="b">
        <v>0</v>
      </c>
      <c r="W37" s="5" t="b">
        <v>0</v>
      </c>
      <c r="X37" s="5" t="b">
        <v>0</v>
      </c>
      <c r="Y37" s="5" t="b">
        <v>0</v>
      </c>
      <c r="Z37" s="5" t="b">
        <v>1</v>
      </c>
      <c r="AA37" s="5" t="b">
        <v>0</v>
      </c>
      <c r="AB37" s="5" t="b">
        <v>0</v>
      </c>
      <c r="AC37" s="5" t="b">
        <v>0</v>
      </c>
      <c r="AD37" s="5" t="b">
        <v>0</v>
      </c>
      <c r="AE37" s="5" t="b">
        <v>0</v>
      </c>
      <c r="AF37" s="5" t="b">
        <v>0</v>
      </c>
      <c r="AG37" s="5" t="b">
        <v>0</v>
      </c>
      <c r="AH37" s="5" t="b">
        <v>0</v>
      </c>
      <c r="AI37" s="5" t="b">
        <v>0</v>
      </c>
      <c r="AJ37" s="5" t="b">
        <v>1</v>
      </c>
      <c r="AK37" s="5" t="b">
        <v>0</v>
      </c>
      <c r="AL37" s="5" t="b">
        <v>1</v>
      </c>
      <c r="AM37" s="5">
        <v>2</v>
      </c>
      <c r="AN37" s="5" t="s">
        <v>30</v>
      </c>
      <c r="AO37" s="5" t="s">
        <v>292</v>
      </c>
      <c r="AP37" s="5" t="s">
        <v>293</v>
      </c>
      <c r="AQ37" s="5">
        <v>2</v>
      </c>
      <c r="AR37" s="5" t="s">
        <v>130</v>
      </c>
      <c r="AS37" s="5">
        <v>2</v>
      </c>
      <c r="AT37" s="5" t="s">
        <v>63</v>
      </c>
      <c r="AU37" s="5">
        <v>5</v>
      </c>
      <c r="AV37" s="5" t="s">
        <v>70</v>
      </c>
      <c r="AW37" s="5">
        <v>2</v>
      </c>
      <c r="AX37" s="5" t="s">
        <v>72</v>
      </c>
      <c r="AY37" s="5">
        <v>12</v>
      </c>
      <c r="AZ37" s="5" t="s">
        <v>80</v>
      </c>
      <c r="BA37" s="5">
        <v>2</v>
      </c>
      <c r="BB37" s="5" t="s">
        <v>84</v>
      </c>
      <c r="BC37" s="5">
        <v>3</v>
      </c>
      <c r="BD37" s="5" t="s">
        <v>90</v>
      </c>
      <c r="BE37" s="5">
        <v>2</v>
      </c>
      <c r="BF37" s="5" t="s">
        <v>92</v>
      </c>
      <c r="BG37" s="5" t="b">
        <v>1</v>
      </c>
      <c r="BH37" s="5" t="b">
        <v>0</v>
      </c>
      <c r="BI37" s="5" t="b">
        <v>1</v>
      </c>
      <c r="BJ37" s="5" t="b">
        <v>1</v>
      </c>
      <c r="BK37" s="5">
        <v>3</v>
      </c>
      <c r="BL37" s="5">
        <v>2</v>
      </c>
      <c r="BM37" s="5" t="s">
        <v>95</v>
      </c>
      <c r="BN37" s="5" t="s">
        <v>294</v>
      </c>
      <c r="BO37" s="5">
        <v>2</v>
      </c>
      <c r="BP37" s="5" t="s">
        <v>101</v>
      </c>
      <c r="BQ37" s="5" t="s">
        <v>295</v>
      </c>
      <c r="BR37" s="5">
        <v>2</v>
      </c>
      <c r="BS37" s="5" t="s">
        <v>105</v>
      </c>
      <c r="BT37" s="5">
        <v>2</v>
      </c>
      <c r="BU37" s="5" t="s">
        <v>111</v>
      </c>
      <c r="BV37" s="5">
        <v>2</v>
      </c>
      <c r="BW37" s="5" t="s">
        <v>116</v>
      </c>
      <c r="BX37" s="5">
        <v>2</v>
      </c>
      <c r="BY37" s="5" t="s">
        <v>122</v>
      </c>
      <c r="BZ37" s="5" t="b">
        <v>1</v>
      </c>
      <c r="CA37" s="5" t="b">
        <v>1</v>
      </c>
      <c r="CB37" s="5" t="b">
        <v>1</v>
      </c>
      <c r="CC37" s="5" t="b">
        <v>1</v>
      </c>
      <c r="CD37" s="5" t="b">
        <v>1</v>
      </c>
      <c r="CE37" s="5">
        <v>5</v>
      </c>
      <c r="CF37" s="5">
        <v>6</v>
      </c>
      <c r="CG37" s="5">
        <v>9</v>
      </c>
      <c r="CH37" s="5" t="s">
        <v>296</v>
      </c>
      <c r="CI37" s="5" t="s">
        <v>297</v>
      </c>
      <c r="CJ37" s="5" t="b">
        <v>1</v>
      </c>
      <c r="CK37" s="5" t="b">
        <v>0</v>
      </c>
      <c r="CL37" s="5" t="b">
        <v>0</v>
      </c>
      <c r="CM37" s="5" t="b">
        <v>1</v>
      </c>
      <c r="CN37" s="5" t="b">
        <v>0</v>
      </c>
      <c r="CO37" s="5" t="b">
        <v>0</v>
      </c>
      <c r="CP37" s="5" t="b">
        <v>0</v>
      </c>
      <c r="CQ37" s="5" t="b">
        <v>0</v>
      </c>
      <c r="CR37" s="5" t="b">
        <v>0</v>
      </c>
      <c r="CS37" s="5" t="b">
        <v>0</v>
      </c>
      <c r="CT37" s="5" t="b">
        <v>0</v>
      </c>
      <c r="CU37" s="5" t="b">
        <v>0</v>
      </c>
      <c r="CV37" s="5" t="b">
        <v>0</v>
      </c>
      <c r="CW37" s="5" t="b">
        <v>1</v>
      </c>
      <c r="CX37" s="5" t="b">
        <v>0</v>
      </c>
      <c r="CY37" s="5" t="b">
        <v>0</v>
      </c>
      <c r="CZ37" s="5" t="b">
        <v>0</v>
      </c>
      <c r="DA37" s="5" t="b">
        <v>0</v>
      </c>
      <c r="DB37" s="5" t="b">
        <v>0</v>
      </c>
      <c r="DC37" s="5" t="b">
        <v>0</v>
      </c>
      <c r="DD37" s="5" t="b">
        <v>0</v>
      </c>
      <c r="DE37" s="5" t="b">
        <v>0</v>
      </c>
      <c r="DF37" s="5" t="b">
        <v>0</v>
      </c>
      <c r="DG37" s="5" t="b">
        <v>0</v>
      </c>
      <c r="DH37" s="5" t="b">
        <v>0</v>
      </c>
      <c r="DI37" s="5" t="b">
        <v>0</v>
      </c>
      <c r="DJ37" s="5" t="b">
        <v>1</v>
      </c>
      <c r="DK37" s="5" t="s">
        <v>298</v>
      </c>
      <c r="DL37" s="5">
        <v>2</v>
      </c>
      <c r="DM37" s="5" t="s">
        <v>30</v>
      </c>
      <c r="DN37" s="5">
        <v>3</v>
      </c>
      <c r="DO37" s="5" t="s">
        <v>63</v>
      </c>
      <c r="DP37" s="5">
        <v>2</v>
      </c>
      <c r="DQ37" s="5" t="s">
        <v>63</v>
      </c>
      <c r="DR37" s="5">
        <v>4</v>
      </c>
      <c r="DS37" s="5" t="s">
        <v>77</v>
      </c>
      <c r="DT37" s="5">
        <v>7</v>
      </c>
      <c r="DU37" s="5" t="s">
        <v>66</v>
      </c>
      <c r="DV37" s="5">
        <v>8</v>
      </c>
      <c r="DW37" s="5" t="s">
        <v>81</v>
      </c>
      <c r="DX37" s="5">
        <v>2</v>
      </c>
      <c r="DY37" s="5" t="s">
        <v>84</v>
      </c>
      <c r="DZ37" s="5">
        <v>3</v>
      </c>
      <c r="EA37" s="5" t="s">
        <v>90</v>
      </c>
      <c r="EB37" s="5">
        <v>3</v>
      </c>
      <c r="EC37" s="5" t="s">
        <v>93</v>
      </c>
      <c r="ED37" s="5" t="b">
        <v>1</v>
      </c>
      <c r="EE37" s="5" t="b">
        <v>0</v>
      </c>
      <c r="EF37" s="5" t="b">
        <v>0</v>
      </c>
      <c r="EG37" s="5" t="b">
        <v>1</v>
      </c>
      <c r="EH37" s="5">
        <v>2</v>
      </c>
      <c r="EI37" s="5">
        <v>3</v>
      </c>
      <c r="EJ37" s="5" t="s">
        <v>139</v>
      </c>
    </row>
    <row r="38" spans="1:140" x14ac:dyDescent="0.25">
      <c r="A38" s="5">
        <v>37</v>
      </c>
      <c r="B38" s="11">
        <v>45032</v>
      </c>
      <c r="C38" s="12">
        <v>0.54513888888888895</v>
      </c>
      <c r="D38" s="12" t="str">
        <f t="shared" si="1"/>
        <v>37   04/16/2023   13:05</v>
      </c>
      <c r="E38" s="5">
        <v>2</v>
      </c>
      <c r="F38" s="5" t="s">
        <v>1</v>
      </c>
      <c r="G38" s="5">
        <v>50</v>
      </c>
      <c r="H38" s="5">
        <v>2</v>
      </c>
      <c r="I38" s="5" t="s">
        <v>2</v>
      </c>
      <c r="J38" s="5">
        <v>6</v>
      </c>
      <c r="K38" s="5" t="s">
        <v>15</v>
      </c>
      <c r="L38" s="5" t="b">
        <v>1</v>
      </c>
      <c r="M38" s="5" t="b">
        <v>0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1</v>
      </c>
      <c r="T38" s="5" t="b">
        <v>0</v>
      </c>
      <c r="U38" s="5" t="b">
        <v>0</v>
      </c>
      <c r="V38" s="5" t="b">
        <v>0</v>
      </c>
      <c r="W38" s="5" t="b">
        <v>0</v>
      </c>
      <c r="X38" s="5" t="b">
        <v>0</v>
      </c>
      <c r="Y38" s="5" t="b">
        <v>0</v>
      </c>
      <c r="Z38" s="5" t="b">
        <v>1</v>
      </c>
      <c r="AA38" s="5" t="b">
        <v>0</v>
      </c>
      <c r="AB38" s="5" t="b">
        <v>0</v>
      </c>
      <c r="AC38" s="5" t="b">
        <v>0</v>
      </c>
      <c r="AD38" s="5" t="b">
        <v>0</v>
      </c>
      <c r="AE38" s="5" t="b">
        <v>0</v>
      </c>
      <c r="AF38" s="5" t="b">
        <v>0</v>
      </c>
      <c r="AG38" s="5" t="b">
        <v>0</v>
      </c>
      <c r="AH38" s="5" t="b">
        <v>0</v>
      </c>
      <c r="AI38" s="5" t="b">
        <v>0</v>
      </c>
      <c r="AJ38" s="5" t="b">
        <v>1</v>
      </c>
      <c r="AK38" s="5" t="b">
        <v>0</v>
      </c>
      <c r="AL38" s="5" t="b">
        <v>1</v>
      </c>
      <c r="AM38" s="5">
        <v>2</v>
      </c>
      <c r="AN38" s="5" t="s">
        <v>30</v>
      </c>
      <c r="AO38" s="5" t="s">
        <v>292</v>
      </c>
      <c r="AP38" s="5" t="s">
        <v>293</v>
      </c>
      <c r="AQ38" s="5">
        <v>2</v>
      </c>
      <c r="AR38" s="5" t="s">
        <v>130</v>
      </c>
      <c r="AS38" s="5">
        <v>2</v>
      </c>
      <c r="AT38" s="5" t="s">
        <v>63</v>
      </c>
      <c r="AU38" s="5">
        <v>5</v>
      </c>
      <c r="AV38" s="5" t="s">
        <v>70</v>
      </c>
      <c r="AW38" s="5">
        <v>2</v>
      </c>
      <c r="AX38" s="5" t="s">
        <v>72</v>
      </c>
      <c r="AY38" s="5">
        <v>12</v>
      </c>
      <c r="AZ38" s="5" t="s">
        <v>80</v>
      </c>
      <c r="BA38" s="5">
        <v>2</v>
      </c>
      <c r="BB38" s="5" t="s">
        <v>84</v>
      </c>
      <c r="BC38" s="5">
        <v>3</v>
      </c>
      <c r="BD38" s="5" t="s">
        <v>90</v>
      </c>
      <c r="BE38" s="5">
        <v>2</v>
      </c>
      <c r="BF38" s="5" t="s">
        <v>92</v>
      </c>
      <c r="BG38" s="5" t="b">
        <v>1</v>
      </c>
      <c r="BH38" s="5" t="b">
        <v>0</v>
      </c>
      <c r="BI38" s="5" t="b">
        <v>1</v>
      </c>
      <c r="BJ38" s="5" t="b">
        <v>1</v>
      </c>
      <c r="BK38" s="5">
        <v>3</v>
      </c>
      <c r="BL38" s="5">
        <v>2</v>
      </c>
      <c r="BM38" s="5" t="s">
        <v>95</v>
      </c>
      <c r="BN38" s="5" t="s">
        <v>294</v>
      </c>
      <c r="BO38" s="5">
        <v>2</v>
      </c>
      <c r="BP38" s="5" t="s">
        <v>101</v>
      </c>
      <c r="BQ38" s="5" t="s">
        <v>295</v>
      </c>
      <c r="BR38" s="5">
        <v>2</v>
      </c>
      <c r="BS38" s="5" t="s">
        <v>105</v>
      </c>
      <c r="BT38" s="5">
        <v>2</v>
      </c>
      <c r="BU38" s="5" t="s">
        <v>111</v>
      </c>
      <c r="BV38" s="5">
        <v>2</v>
      </c>
      <c r="BW38" s="5" t="s">
        <v>116</v>
      </c>
      <c r="BX38" s="5">
        <v>2</v>
      </c>
      <c r="BY38" s="5" t="s">
        <v>122</v>
      </c>
      <c r="BZ38" s="5" t="b">
        <v>1</v>
      </c>
      <c r="CA38" s="5" t="b">
        <v>1</v>
      </c>
      <c r="CB38" s="5" t="b">
        <v>1</v>
      </c>
      <c r="CC38" s="5" t="b">
        <v>1</v>
      </c>
      <c r="CD38" s="5" t="b">
        <v>1</v>
      </c>
      <c r="CE38" s="5">
        <v>5</v>
      </c>
      <c r="CF38" s="5">
        <v>6</v>
      </c>
      <c r="CG38" s="5">
        <v>9</v>
      </c>
      <c r="CH38" s="5" t="s">
        <v>296</v>
      </c>
      <c r="CI38" s="5" t="s">
        <v>297</v>
      </c>
      <c r="CJ38" s="5" t="b">
        <v>1</v>
      </c>
      <c r="CK38" s="5" t="b">
        <v>0</v>
      </c>
      <c r="CL38" s="5" t="b">
        <v>0</v>
      </c>
      <c r="CM38" s="5" t="b">
        <v>1</v>
      </c>
      <c r="CN38" s="5" t="b">
        <v>0</v>
      </c>
      <c r="CO38" s="5" t="b">
        <v>0</v>
      </c>
      <c r="CP38" s="5" t="b">
        <v>0</v>
      </c>
      <c r="CQ38" s="5" t="b">
        <v>0</v>
      </c>
      <c r="CR38" s="5" t="b">
        <v>0</v>
      </c>
      <c r="CS38" s="5" t="b">
        <v>0</v>
      </c>
      <c r="CT38" s="5" t="b">
        <v>0</v>
      </c>
      <c r="CU38" s="5" t="b">
        <v>0</v>
      </c>
      <c r="CV38" s="5" t="b">
        <v>0</v>
      </c>
      <c r="CW38" s="5" t="b">
        <v>1</v>
      </c>
      <c r="CX38" s="5" t="b">
        <v>0</v>
      </c>
      <c r="CY38" s="5" t="b">
        <v>0</v>
      </c>
      <c r="CZ38" s="5" t="b">
        <v>0</v>
      </c>
      <c r="DA38" s="5" t="b">
        <v>0</v>
      </c>
      <c r="DB38" s="5" t="b">
        <v>0</v>
      </c>
      <c r="DC38" s="5" t="b">
        <v>0</v>
      </c>
      <c r="DD38" s="5" t="b">
        <v>0</v>
      </c>
      <c r="DE38" s="5" t="b">
        <v>0</v>
      </c>
      <c r="DF38" s="5" t="b">
        <v>0</v>
      </c>
      <c r="DG38" s="5" t="b">
        <v>0</v>
      </c>
      <c r="DH38" s="5" t="b">
        <v>0</v>
      </c>
      <c r="DI38" s="5" t="b">
        <v>0</v>
      </c>
      <c r="DJ38" s="5" t="b">
        <v>1</v>
      </c>
      <c r="DK38" s="5" t="s">
        <v>298</v>
      </c>
      <c r="DL38" s="5">
        <v>2</v>
      </c>
      <c r="DM38" s="5" t="s">
        <v>30</v>
      </c>
      <c r="DN38" s="5">
        <v>3</v>
      </c>
      <c r="DO38" s="5" t="s">
        <v>63</v>
      </c>
      <c r="DP38" s="5">
        <v>2</v>
      </c>
      <c r="DQ38" s="5" t="s">
        <v>63</v>
      </c>
      <c r="DR38" s="5">
        <v>4</v>
      </c>
      <c r="DS38" s="5" t="s">
        <v>77</v>
      </c>
      <c r="DT38" s="5">
        <v>7</v>
      </c>
      <c r="DU38" s="5" t="s">
        <v>66</v>
      </c>
      <c r="DV38" s="5">
        <v>8</v>
      </c>
      <c r="DW38" s="5" t="s">
        <v>81</v>
      </c>
      <c r="DX38" s="5">
        <v>2</v>
      </c>
      <c r="DY38" s="5" t="s">
        <v>84</v>
      </c>
      <c r="DZ38" s="5">
        <v>3</v>
      </c>
      <c r="EA38" s="5" t="s">
        <v>90</v>
      </c>
      <c r="EB38" s="5">
        <v>3</v>
      </c>
      <c r="EC38" s="5" t="s">
        <v>93</v>
      </c>
      <c r="ED38" s="5" t="b">
        <v>1</v>
      </c>
      <c r="EE38" s="5" t="b">
        <v>0</v>
      </c>
      <c r="EF38" s="5" t="b">
        <v>0</v>
      </c>
      <c r="EG38" s="5" t="b">
        <v>1</v>
      </c>
      <c r="EH38" s="5">
        <v>2</v>
      </c>
      <c r="EI38" s="5">
        <v>3</v>
      </c>
      <c r="EJ38" s="5" t="s">
        <v>139</v>
      </c>
    </row>
    <row r="39" spans="1:140" x14ac:dyDescent="0.25">
      <c r="A39" s="5">
        <v>38</v>
      </c>
      <c r="B39" s="11">
        <v>45032</v>
      </c>
      <c r="C39" s="12">
        <v>0.54513888888888895</v>
      </c>
      <c r="D39" s="12" t="str">
        <f t="shared" si="1"/>
        <v>38   04/16/2023   13:05</v>
      </c>
      <c r="E39" s="5">
        <v>2</v>
      </c>
      <c r="F39" s="5" t="s">
        <v>1</v>
      </c>
      <c r="G39" s="5">
        <v>50</v>
      </c>
      <c r="H39" s="5">
        <v>2</v>
      </c>
      <c r="I39" s="5" t="s">
        <v>2</v>
      </c>
      <c r="J39" s="5">
        <v>6</v>
      </c>
      <c r="K39" s="5" t="s">
        <v>15</v>
      </c>
      <c r="L39" s="5" t="b">
        <v>1</v>
      </c>
      <c r="M39" s="5" t="b">
        <v>0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1</v>
      </c>
      <c r="T39" s="5" t="b">
        <v>0</v>
      </c>
      <c r="U39" s="5" t="b">
        <v>0</v>
      </c>
      <c r="V39" s="5" t="b">
        <v>0</v>
      </c>
      <c r="W39" s="5" t="b">
        <v>0</v>
      </c>
      <c r="X39" s="5" t="b">
        <v>0</v>
      </c>
      <c r="Y39" s="5" t="b">
        <v>0</v>
      </c>
      <c r="Z39" s="5" t="b">
        <v>1</v>
      </c>
      <c r="AA39" s="5" t="b">
        <v>0</v>
      </c>
      <c r="AB39" s="5" t="b">
        <v>0</v>
      </c>
      <c r="AC39" s="5" t="b">
        <v>0</v>
      </c>
      <c r="AD39" s="5" t="b">
        <v>0</v>
      </c>
      <c r="AE39" s="5" t="b">
        <v>0</v>
      </c>
      <c r="AF39" s="5" t="b">
        <v>0</v>
      </c>
      <c r="AG39" s="5" t="b">
        <v>0</v>
      </c>
      <c r="AH39" s="5" t="b">
        <v>0</v>
      </c>
      <c r="AI39" s="5" t="b">
        <v>0</v>
      </c>
      <c r="AJ39" s="5" t="b">
        <v>1</v>
      </c>
      <c r="AK39" s="5" t="b">
        <v>0</v>
      </c>
      <c r="AL39" s="5" t="b">
        <v>1</v>
      </c>
      <c r="AM39" s="5">
        <v>2</v>
      </c>
      <c r="AN39" s="5" t="s">
        <v>30</v>
      </c>
      <c r="AO39" s="5" t="s">
        <v>292</v>
      </c>
      <c r="AP39" s="5" t="s">
        <v>293</v>
      </c>
      <c r="AQ39" s="5">
        <v>2</v>
      </c>
      <c r="AR39" s="5" t="s">
        <v>130</v>
      </c>
      <c r="AS39" s="5">
        <v>2</v>
      </c>
      <c r="AT39" s="5" t="s">
        <v>63</v>
      </c>
      <c r="AU39" s="5">
        <v>5</v>
      </c>
      <c r="AV39" s="5" t="s">
        <v>70</v>
      </c>
      <c r="AW39" s="5">
        <v>2</v>
      </c>
      <c r="AX39" s="5" t="s">
        <v>72</v>
      </c>
      <c r="AY39" s="5">
        <v>12</v>
      </c>
      <c r="AZ39" s="5" t="s">
        <v>80</v>
      </c>
      <c r="BA39" s="5">
        <v>2</v>
      </c>
      <c r="BB39" s="5" t="s">
        <v>84</v>
      </c>
      <c r="BC39" s="5">
        <v>3</v>
      </c>
      <c r="BD39" s="5" t="s">
        <v>90</v>
      </c>
      <c r="BE39" s="5">
        <v>2</v>
      </c>
      <c r="BF39" s="5" t="s">
        <v>92</v>
      </c>
      <c r="BG39" s="5" t="b">
        <v>1</v>
      </c>
      <c r="BH39" s="5" t="b">
        <v>0</v>
      </c>
      <c r="BI39" s="5" t="b">
        <v>1</v>
      </c>
      <c r="BJ39" s="5" t="b">
        <v>1</v>
      </c>
      <c r="BK39" s="5">
        <v>3</v>
      </c>
      <c r="BL39" s="5">
        <v>2</v>
      </c>
      <c r="BM39" s="5" t="s">
        <v>95</v>
      </c>
      <c r="BN39" s="5" t="s">
        <v>294</v>
      </c>
      <c r="BO39" s="5">
        <v>2</v>
      </c>
      <c r="BP39" s="5" t="s">
        <v>101</v>
      </c>
      <c r="BQ39" s="5" t="s">
        <v>295</v>
      </c>
      <c r="BR39" s="5">
        <v>2</v>
      </c>
      <c r="BS39" s="5" t="s">
        <v>105</v>
      </c>
      <c r="BT39" s="5">
        <v>2</v>
      </c>
      <c r="BU39" s="5" t="s">
        <v>111</v>
      </c>
      <c r="BV39" s="5">
        <v>2</v>
      </c>
      <c r="BW39" s="5" t="s">
        <v>116</v>
      </c>
      <c r="BX39" s="5">
        <v>2</v>
      </c>
      <c r="BY39" s="5" t="s">
        <v>122</v>
      </c>
      <c r="BZ39" s="5" t="b">
        <v>1</v>
      </c>
      <c r="CA39" s="5" t="b">
        <v>1</v>
      </c>
      <c r="CB39" s="5" t="b">
        <v>1</v>
      </c>
      <c r="CC39" s="5" t="b">
        <v>1</v>
      </c>
      <c r="CD39" s="5" t="b">
        <v>1</v>
      </c>
      <c r="CE39" s="5">
        <v>5</v>
      </c>
      <c r="CF39" s="5">
        <v>6</v>
      </c>
      <c r="CG39" s="5">
        <v>9</v>
      </c>
      <c r="CH39" s="5" t="s">
        <v>296</v>
      </c>
      <c r="CI39" s="5" t="s">
        <v>297</v>
      </c>
      <c r="CJ39" s="5" t="b">
        <v>1</v>
      </c>
      <c r="CK39" s="5" t="b">
        <v>0</v>
      </c>
      <c r="CL39" s="5" t="b">
        <v>0</v>
      </c>
      <c r="CM39" s="5" t="b">
        <v>1</v>
      </c>
      <c r="CN39" s="5" t="b">
        <v>0</v>
      </c>
      <c r="CO39" s="5" t="b">
        <v>0</v>
      </c>
      <c r="CP39" s="5" t="b">
        <v>0</v>
      </c>
      <c r="CQ39" s="5" t="b">
        <v>0</v>
      </c>
      <c r="CR39" s="5" t="b">
        <v>0</v>
      </c>
      <c r="CS39" s="5" t="b">
        <v>0</v>
      </c>
      <c r="CT39" s="5" t="b">
        <v>0</v>
      </c>
      <c r="CU39" s="5" t="b">
        <v>0</v>
      </c>
      <c r="CV39" s="5" t="b">
        <v>0</v>
      </c>
      <c r="CW39" s="5" t="b">
        <v>1</v>
      </c>
      <c r="CX39" s="5" t="b">
        <v>0</v>
      </c>
      <c r="CY39" s="5" t="b">
        <v>0</v>
      </c>
      <c r="CZ39" s="5" t="b">
        <v>0</v>
      </c>
      <c r="DA39" s="5" t="b">
        <v>0</v>
      </c>
      <c r="DB39" s="5" t="b">
        <v>0</v>
      </c>
      <c r="DC39" s="5" t="b">
        <v>0</v>
      </c>
      <c r="DD39" s="5" t="b">
        <v>0</v>
      </c>
      <c r="DE39" s="5" t="b">
        <v>0</v>
      </c>
      <c r="DF39" s="5" t="b">
        <v>0</v>
      </c>
      <c r="DG39" s="5" t="b">
        <v>0</v>
      </c>
      <c r="DH39" s="5" t="b">
        <v>0</v>
      </c>
      <c r="DI39" s="5" t="b">
        <v>0</v>
      </c>
      <c r="DJ39" s="5" t="b">
        <v>1</v>
      </c>
      <c r="DK39" s="5" t="s">
        <v>298</v>
      </c>
      <c r="DL39" s="5">
        <v>2</v>
      </c>
      <c r="DM39" s="5" t="s">
        <v>30</v>
      </c>
      <c r="DN39" s="5">
        <v>3</v>
      </c>
      <c r="DO39" s="5" t="s">
        <v>63</v>
      </c>
      <c r="DP39" s="5">
        <v>2</v>
      </c>
      <c r="DQ39" s="5" t="s">
        <v>63</v>
      </c>
      <c r="DR39" s="5">
        <v>4</v>
      </c>
      <c r="DS39" s="5" t="s">
        <v>77</v>
      </c>
      <c r="DT39" s="5">
        <v>7</v>
      </c>
      <c r="DU39" s="5" t="s">
        <v>66</v>
      </c>
      <c r="DV39" s="5">
        <v>8</v>
      </c>
      <c r="DW39" s="5" t="s">
        <v>81</v>
      </c>
      <c r="DX39" s="5">
        <v>2</v>
      </c>
      <c r="DY39" s="5" t="s">
        <v>84</v>
      </c>
      <c r="DZ39" s="5">
        <v>3</v>
      </c>
      <c r="EA39" s="5" t="s">
        <v>90</v>
      </c>
      <c r="EB39" s="5">
        <v>3</v>
      </c>
      <c r="EC39" s="5" t="s">
        <v>93</v>
      </c>
      <c r="ED39" s="5" t="b">
        <v>1</v>
      </c>
      <c r="EE39" s="5" t="b">
        <v>0</v>
      </c>
      <c r="EF39" s="5" t="b">
        <v>0</v>
      </c>
      <c r="EG39" s="5" t="b">
        <v>1</v>
      </c>
      <c r="EH39" s="5">
        <v>2</v>
      </c>
      <c r="EI39" s="5">
        <v>3</v>
      </c>
      <c r="EJ39" s="5" t="s">
        <v>139</v>
      </c>
    </row>
    <row r="40" spans="1:140" x14ac:dyDescent="0.25">
      <c r="A40" s="5">
        <v>39</v>
      </c>
      <c r="B40" s="11">
        <v>45032</v>
      </c>
      <c r="C40" s="12">
        <v>0.54513888888888895</v>
      </c>
      <c r="D40" s="12" t="str">
        <f t="shared" si="1"/>
        <v>39   04/16/2023   13:05</v>
      </c>
      <c r="E40" s="5">
        <v>2</v>
      </c>
      <c r="F40" s="5" t="s">
        <v>1</v>
      </c>
      <c r="G40" s="5">
        <v>50</v>
      </c>
      <c r="H40" s="5">
        <v>2</v>
      </c>
      <c r="I40" s="5" t="s">
        <v>2</v>
      </c>
      <c r="J40" s="5">
        <v>6</v>
      </c>
      <c r="K40" s="5" t="s">
        <v>15</v>
      </c>
      <c r="L40" s="5" t="b">
        <v>1</v>
      </c>
      <c r="M40" s="5" t="b">
        <v>0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1</v>
      </c>
      <c r="T40" s="5" t="b">
        <v>0</v>
      </c>
      <c r="U40" s="5" t="b">
        <v>0</v>
      </c>
      <c r="V40" s="5" t="b">
        <v>0</v>
      </c>
      <c r="W40" s="5" t="b">
        <v>0</v>
      </c>
      <c r="X40" s="5" t="b">
        <v>0</v>
      </c>
      <c r="Y40" s="5" t="b">
        <v>0</v>
      </c>
      <c r="Z40" s="5" t="b">
        <v>1</v>
      </c>
      <c r="AA40" s="5" t="b">
        <v>0</v>
      </c>
      <c r="AB40" s="5" t="b">
        <v>0</v>
      </c>
      <c r="AC40" s="5" t="b">
        <v>0</v>
      </c>
      <c r="AD40" s="5" t="b">
        <v>0</v>
      </c>
      <c r="AE40" s="5" t="b">
        <v>0</v>
      </c>
      <c r="AF40" s="5" t="b">
        <v>0</v>
      </c>
      <c r="AG40" s="5" t="b">
        <v>0</v>
      </c>
      <c r="AH40" s="5" t="b">
        <v>0</v>
      </c>
      <c r="AI40" s="5" t="b">
        <v>0</v>
      </c>
      <c r="AJ40" s="5" t="b">
        <v>1</v>
      </c>
      <c r="AK40" s="5" t="b">
        <v>0</v>
      </c>
      <c r="AL40" s="5" t="b">
        <v>1</v>
      </c>
      <c r="AM40" s="5">
        <v>2</v>
      </c>
      <c r="AN40" s="5" t="s">
        <v>30</v>
      </c>
      <c r="AO40" s="5" t="s">
        <v>292</v>
      </c>
      <c r="AP40" s="5" t="s">
        <v>293</v>
      </c>
      <c r="AQ40" s="5">
        <v>2</v>
      </c>
      <c r="AR40" s="5" t="s">
        <v>130</v>
      </c>
      <c r="AS40" s="5">
        <v>2</v>
      </c>
      <c r="AT40" s="5" t="s">
        <v>63</v>
      </c>
      <c r="AU40" s="5">
        <v>5</v>
      </c>
      <c r="AV40" s="5" t="s">
        <v>70</v>
      </c>
      <c r="AW40" s="5">
        <v>2</v>
      </c>
      <c r="AX40" s="5" t="s">
        <v>72</v>
      </c>
      <c r="AY40" s="5">
        <v>12</v>
      </c>
      <c r="AZ40" s="5" t="s">
        <v>80</v>
      </c>
      <c r="BA40" s="5">
        <v>2</v>
      </c>
      <c r="BB40" s="5" t="s">
        <v>84</v>
      </c>
      <c r="BC40" s="5">
        <v>3</v>
      </c>
      <c r="BD40" s="5" t="s">
        <v>90</v>
      </c>
      <c r="BE40" s="5">
        <v>2</v>
      </c>
      <c r="BF40" s="5" t="s">
        <v>92</v>
      </c>
      <c r="BG40" s="5" t="b">
        <v>1</v>
      </c>
      <c r="BH40" s="5" t="b">
        <v>0</v>
      </c>
      <c r="BI40" s="5" t="b">
        <v>1</v>
      </c>
      <c r="BJ40" s="5" t="b">
        <v>1</v>
      </c>
      <c r="BK40" s="5">
        <v>3</v>
      </c>
      <c r="BL40" s="5">
        <v>2</v>
      </c>
      <c r="BM40" s="5" t="s">
        <v>95</v>
      </c>
      <c r="BN40" s="5" t="s">
        <v>294</v>
      </c>
      <c r="BO40" s="5">
        <v>2</v>
      </c>
      <c r="BP40" s="5" t="s">
        <v>101</v>
      </c>
      <c r="BQ40" s="5" t="s">
        <v>295</v>
      </c>
      <c r="BR40" s="5">
        <v>2</v>
      </c>
      <c r="BS40" s="5" t="s">
        <v>105</v>
      </c>
      <c r="BT40" s="5">
        <v>2</v>
      </c>
      <c r="BU40" s="5" t="s">
        <v>111</v>
      </c>
      <c r="BV40" s="5">
        <v>2</v>
      </c>
      <c r="BW40" s="5" t="s">
        <v>116</v>
      </c>
      <c r="BX40" s="5">
        <v>2</v>
      </c>
      <c r="BY40" s="5" t="s">
        <v>122</v>
      </c>
      <c r="BZ40" s="5" t="b">
        <v>1</v>
      </c>
      <c r="CA40" s="5" t="b">
        <v>1</v>
      </c>
      <c r="CB40" s="5" t="b">
        <v>1</v>
      </c>
      <c r="CC40" s="5" t="b">
        <v>1</v>
      </c>
      <c r="CD40" s="5" t="b">
        <v>1</v>
      </c>
      <c r="CE40" s="5">
        <v>5</v>
      </c>
      <c r="CF40" s="5">
        <v>6</v>
      </c>
      <c r="CG40" s="5">
        <v>9</v>
      </c>
      <c r="CH40" s="5" t="s">
        <v>296</v>
      </c>
      <c r="CI40" s="5" t="s">
        <v>297</v>
      </c>
      <c r="CJ40" s="5" t="b">
        <v>1</v>
      </c>
      <c r="CK40" s="5" t="b">
        <v>0</v>
      </c>
      <c r="CL40" s="5" t="b">
        <v>0</v>
      </c>
      <c r="CM40" s="5" t="b">
        <v>1</v>
      </c>
      <c r="CN40" s="5" t="b">
        <v>0</v>
      </c>
      <c r="CO40" s="5" t="b">
        <v>0</v>
      </c>
      <c r="CP40" s="5" t="b">
        <v>0</v>
      </c>
      <c r="CQ40" s="5" t="b">
        <v>0</v>
      </c>
      <c r="CR40" s="5" t="b">
        <v>0</v>
      </c>
      <c r="CS40" s="5" t="b">
        <v>0</v>
      </c>
      <c r="CT40" s="5" t="b">
        <v>0</v>
      </c>
      <c r="CU40" s="5" t="b">
        <v>0</v>
      </c>
      <c r="CV40" s="5" t="b">
        <v>0</v>
      </c>
      <c r="CW40" s="5" t="b">
        <v>1</v>
      </c>
      <c r="CX40" s="5" t="b">
        <v>0</v>
      </c>
      <c r="CY40" s="5" t="b">
        <v>0</v>
      </c>
      <c r="CZ40" s="5" t="b">
        <v>0</v>
      </c>
      <c r="DA40" s="5" t="b">
        <v>0</v>
      </c>
      <c r="DB40" s="5" t="b">
        <v>0</v>
      </c>
      <c r="DC40" s="5" t="b">
        <v>0</v>
      </c>
      <c r="DD40" s="5" t="b">
        <v>0</v>
      </c>
      <c r="DE40" s="5" t="b">
        <v>0</v>
      </c>
      <c r="DF40" s="5" t="b">
        <v>0</v>
      </c>
      <c r="DG40" s="5" t="b">
        <v>0</v>
      </c>
      <c r="DH40" s="5" t="b">
        <v>0</v>
      </c>
      <c r="DI40" s="5" t="b">
        <v>0</v>
      </c>
      <c r="DJ40" s="5" t="b">
        <v>1</v>
      </c>
      <c r="DK40" s="5" t="s">
        <v>298</v>
      </c>
      <c r="DL40" s="5">
        <v>2</v>
      </c>
      <c r="DM40" s="5" t="s">
        <v>30</v>
      </c>
      <c r="DN40" s="5">
        <v>3</v>
      </c>
      <c r="DO40" s="5" t="s">
        <v>63</v>
      </c>
      <c r="DP40" s="5">
        <v>2</v>
      </c>
      <c r="DQ40" s="5" t="s">
        <v>63</v>
      </c>
      <c r="DR40" s="5">
        <v>4</v>
      </c>
      <c r="DS40" s="5" t="s">
        <v>77</v>
      </c>
      <c r="DT40" s="5">
        <v>7</v>
      </c>
      <c r="DU40" s="5" t="s">
        <v>66</v>
      </c>
      <c r="DV40" s="5">
        <v>8</v>
      </c>
      <c r="DW40" s="5" t="s">
        <v>81</v>
      </c>
      <c r="DX40" s="5">
        <v>2</v>
      </c>
      <c r="DY40" s="5" t="s">
        <v>84</v>
      </c>
      <c r="DZ40" s="5">
        <v>3</v>
      </c>
      <c r="EA40" s="5" t="s">
        <v>90</v>
      </c>
      <c r="EB40" s="5">
        <v>3</v>
      </c>
      <c r="EC40" s="5" t="s">
        <v>93</v>
      </c>
      <c r="ED40" s="5" t="b">
        <v>1</v>
      </c>
      <c r="EE40" s="5" t="b">
        <v>0</v>
      </c>
      <c r="EF40" s="5" t="b">
        <v>0</v>
      </c>
      <c r="EG40" s="5" t="b">
        <v>1</v>
      </c>
      <c r="EH40" s="5">
        <v>2</v>
      </c>
      <c r="EI40" s="5">
        <v>3</v>
      </c>
      <c r="EJ40" s="5" t="s">
        <v>139</v>
      </c>
    </row>
    <row r="41" spans="1:140" x14ac:dyDescent="0.25">
      <c r="A41" s="5">
        <v>40</v>
      </c>
      <c r="B41" s="11">
        <v>45032</v>
      </c>
      <c r="C41" s="12">
        <v>0.54513888888888895</v>
      </c>
      <c r="D41" s="12" t="str">
        <f t="shared" si="1"/>
        <v>40   04/16/2023   13:05</v>
      </c>
      <c r="E41" s="5">
        <v>2</v>
      </c>
      <c r="F41" s="5" t="s">
        <v>1</v>
      </c>
      <c r="G41" s="5">
        <v>50</v>
      </c>
      <c r="H41" s="5">
        <v>2</v>
      </c>
      <c r="I41" s="5" t="s">
        <v>2</v>
      </c>
      <c r="J41" s="5">
        <v>6</v>
      </c>
      <c r="K41" s="5" t="s">
        <v>15</v>
      </c>
      <c r="L41" s="5" t="b">
        <v>1</v>
      </c>
      <c r="M41" s="5" t="b">
        <v>0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1</v>
      </c>
      <c r="T41" s="5" t="b">
        <v>0</v>
      </c>
      <c r="U41" s="5" t="b">
        <v>0</v>
      </c>
      <c r="V41" s="5" t="b">
        <v>0</v>
      </c>
      <c r="W41" s="5" t="b">
        <v>0</v>
      </c>
      <c r="X41" s="5" t="b">
        <v>0</v>
      </c>
      <c r="Y41" s="5" t="b">
        <v>0</v>
      </c>
      <c r="Z41" s="5" t="b">
        <v>1</v>
      </c>
      <c r="AA41" s="5" t="b">
        <v>0</v>
      </c>
      <c r="AB41" s="5" t="b">
        <v>0</v>
      </c>
      <c r="AC41" s="5" t="b">
        <v>0</v>
      </c>
      <c r="AD41" s="5" t="b">
        <v>0</v>
      </c>
      <c r="AE41" s="5" t="b">
        <v>0</v>
      </c>
      <c r="AF41" s="5" t="b">
        <v>0</v>
      </c>
      <c r="AG41" s="5" t="b">
        <v>0</v>
      </c>
      <c r="AH41" s="5" t="b">
        <v>0</v>
      </c>
      <c r="AI41" s="5" t="b">
        <v>0</v>
      </c>
      <c r="AJ41" s="5" t="b">
        <v>1</v>
      </c>
      <c r="AK41" s="5" t="b">
        <v>0</v>
      </c>
      <c r="AL41" s="5" t="b">
        <v>1</v>
      </c>
      <c r="AM41" s="5">
        <v>2</v>
      </c>
      <c r="AN41" s="5" t="s">
        <v>30</v>
      </c>
      <c r="AO41" s="5" t="s">
        <v>292</v>
      </c>
      <c r="AP41" s="5" t="s">
        <v>293</v>
      </c>
      <c r="AQ41" s="5">
        <v>2</v>
      </c>
      <c r="AR41" s="5" t="s">
        <v>130</v>
      </c>
      <c r="AS41" s="5">
        <v>2</v>
      </c>
      <c r="AT41" s="5" t="s">
        <v>63</v>
      </c>
      <c r="AU41" s="5">
        <v>5</v>
      </c>
      <c r="AV41" s="5" t="s">
        <v>70</v>
      </c>
      <c r="AW41" s="5">
        <v>2</v>
      </c>
      <c r="AX41" s="5" t="s">
        <v>72</v>
      </c>
      <c r="AY41" s="5">
        <v>12</v>
      </c>
      <c r="AZ41" s="5" t="s">
        <v>80</v>
      </c>
      <c r="BA41" s="5">
        <v>2</v>
      </c>
      <c r="BB41" s="5" t="s">
        <v>84</v>
      </c>
      <c r="BC41" s="5">
        <v>3</v>
      </c>
      <c r="BD41" s="5" t="s">
        <v>90</v>
      </c>
      <c r="BE41" s="5">
        <v>2</v>
      </c>
      <c r="BF41" s="5" t="s">
        <v>92</v>
      </c>
      <c r="BG41" s="5" t="b">
        <v>1</v>
      </c>
      <c r="BH41" s="5" t="b">
        <v>0</v>
      </c>
      <c r="BI41" s="5" t="b">
        <v>1</v>
      </c>
      <c r="BJ41" s="5" t="b">
        <v>1</v>
      </c>
      <c r="BK41" s="5">
        <v>3</v>
      </c>
      <c r="BL41" s="5">
        <v>2</v>
      </c>
      <c r="BM41" s="5" t="s">
        <v>95</v>
      </c>
      <c r="BN41" s="5" t="s">
        <v>294</v>
      </c>
      <c r="BO41" s="5">
        <v>2</v>
      </c>
      <c r="BP41" s="5" t="s">
        <v>101</v>
      </c>
      <c r="BQ41" s="5" t="s">
        <v>295</v>
      </c>
      <c r="BR41" s="5">
        <v>2</v>
      </c>
      <c r="BS41" s="5" t="s">
        <v>105</v>
      </c>
      <c r="BT41" s="5">
        <v>2</v>
      </c>
      <c r="BU41" s="5" t="s">
        <v>111</v>
      </c>
      <c r="BV41" s="5">
        <v>2</v>
      </c>
      <c r="BW41" s="5" t="s">
        <v>116</v>
      </c>
      <c r="BX41" s="5">
        <v>2</v>
      </c>
      <c r="BY41" s="5" t="s">
        <v>122</v>
      </c>
      <c r="BZ41" s="5" t="b">
        <v>1</v>
      </c>
      <c r="CA41" s="5" t="b">
        <v>1</v>
      </c>
      <c r="CB41" s="5" t="b">
        <v>1</v>
      </c>
      <c r="CC41" s="5" t="b">
        <v>1</v>
      </c>
      <c r="CD41" s="5" t="b">
        <v>1</v>
      </c>
      <c r="CE41" s="5">
        <v>5</v>
      </c>
      <c r="CF41" s="5">
        <v>6</v>
      </c>
      <c r="CG41" s="5">
        <v>9</v>
      </c>
      <c r="CH41" s="5" t="s">
        <v>296</v>
      </c>
      <c r="CI41" s="5" t="s">
        <v>297</v>
      </c>
      <c r="CJ41" s="5" t="b">
        <v>1</v>
      </c>
      <c r="CK41" s="5" t="b">
        <v>0</v>
      </c>
      <c r="CL41" s="5" t="b">
        <v>0</v>
      </c>
      <c r="CM41" s="5" t="b">
        <v>1</v>
      </c>
      <c r="CN41" s="5" t="b">
        <v>0</v>
      </c>
      <c r="CO41" s="5" t="b">
        <v>0</v>
      </c>
      <c r="CP41" s="5" t="b">
        <v>0</v>
      </c>
      <c r="CQ41" s="5" t="b">
        <v>0</v>
      </c>
      <c r="CR41" s="5" t="b">
        <v>0</v>
      </c>
      <c r="CS41" s="5" t="b">
        <v>0</v>
      </c>
      <c r="CT41" s="5" t="b">
        <v>0</v>
      </c>
      <c r="CU41" s="5" t="b">
        <v>0</v>
      </c>
      <c r="CV41" s="5" t="b">
        <v>0</v>
      </c>
      <c r="CW41" s="5" t="b">
        <v>1</v>
      </c>
      <c r="CX41" s="5" t="b">
        <v>0</v>
      </c>
      <c r="CY41" s="5" t="b">
        <v>0</v>
      </c>
      <c r="CZ41" s="5" t="b">
        <v>0</v>
      </c>
      <c r="DA41" s="5" t="b">
        <v>0</v>
      </c>
      <c r="DB41" s="5" t="b">
        <v>0</v>
      </c>
      <c r="DC41" s="5" t="b">
        <v>0</v>
      </c>
      <c r="DD41" s="5" t="b">
        <v>0</v>
      </c>
      <c r="DE41" s="5" t="b">
        <v>0</v>
      </c>
      <c r="DF41" s="5" t="b">
        <v>0</v>
      </c>
      <c r="DG41" s="5" t="b">
        <v>0</v>
      </c>
      <c r="DH41" s="5" t="b">
        <v>0</v>
      </c>
      <c r="DI41" s="5" t="b">
        <v>0</v>
      </c>
      <c r="DJ41" s="5" t="b">
        <v>1</v>
      </c>
      <c r="DK41" s="5" t="s">
        <v>298</v>
      </c>
      <c r="DL41" s="5">
        <v>2</v>
      </c>
      <c r="DM41" s="5" t="s">
        <v>30</v>
      </c>
      <c r="DN41" s="5">
        <v>3</v>
      </c>
      <c r="DO41" s="5" t="s">
        <v>63</v>
      </c>
      <c r="DP41" s="5">
        <v>2</v>
      </c>
      <c r="DQ41" s="5" t="s">
        <v>63</v>
      </c>
      <c r="DR41" s="5">
        <v>4</v>
      </c>
      <c r="DS41" s="5" t="s">
        <v>77</v>
      </c>
      <c r="DT41" s="5">
        <v>7</v>
      </c>
      <c r="DU41" s="5" t="s">
        <v>66</v>
      </c>
      <c r="DV41" s="5">
        <v>8</v>
      </c>
      <c r="DW41" s="5" t="s">
        <v>81</v>
      </c>
      <c r="DX41" s="5">
        <v>2</v>
      </c>
      <c r="DY41" s="5" t="s">
        <v>84</v>
      </c>
      <c r="DZ41" s="5">
        <v>3</v>
      </c>
      <c r="EA41" s="5" t="s">
        <v>90</v>
      </c>
      <c r="EB41" s="5">
        <v>3</v>
      </c>
      <c r="EC41" s="5" t="s">
        <v>93</v>
      </c>
      <c r="ED41" s="5" t="b">
        <v>1</v>
      </c>
      <c r="EE41" s="5" t="b">
        <v>0</v>
      </c>
      <c r="EF41" s="5" t="b">
        <v>0</v>
      </c>
      <c r="EG41" s="5" t="b">
        <v>1</v>
      </c>
      <c r="EH41" s="5">
        <v>2</v>
      </c>
      <c r="EI41" s="5">
        <v>3</v>
      </c>
      <c r="EJ41" s="5" t="s">
        <v>139</v>
      </c>
    </row>
    <row r="42" spans="1:140" x14ac:dyDescent="0.25">
      <c r="A42" s="5">
        <v>41</v>
      </c>
      <c r="B42" s="11">
        <v>45032</v>
      </c>
      <c r="C42" s="12">
        <v>0.54513888888888895</v>
      </c>
      <c r="D42" s="12" t="str">
        <f t="shared" si="1"/>
        <v>41   04/16/2023   13:05</v>
      </c>
      <c r="E42" s="5">
        <v>2</v>
      </c>
      <c r="F42" s="5" t="s">
        <v>1</v>
      </c>
      <c r="G42" s="5">
        <v>50</v>
      </c>
      <c r="H42" s="5">
        <v>2</v>
      </c>
      <c r="I42" s="5" t="s">
        <v>2</v>
      </c>
      <c r="J42" s="5">
        <v>6</v>
      </c>
      <c r="K42" s="5" t="s">
        <v>15</v>
      </c>
      <c r="L42" s="5" t="b">
        <v>1</v>
      </c>
      <c r="M42" s="5" t="b">
        <v>0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1</v>
      </c>
      <c r="T42" s="5" t="b">
        <v>0</v>
      </c>
      <c r="U42" s="5" t="b">
        <v>0</v>
      </c>
      <c r="V42" s="5" t="b">
        <v>0</v>
      </c>
      <c r="W42" s="5" t="b">
        <v>0</v>
      </c>
      <c r="X42" s="5" t="b">
        <v>0</v>
      </c>
      <c r="Y42" s="5" t="b">
        <v>0</v>
      </c>
      <c r="Z42" s="5" t="b">
        <v>1</v>
      </c>
      <c r="AA42" s="5" t="b">
        <v>0</v>
      </c>
      <c r="AB42" s="5" t="b">
        <v>0</v>
      </c>
      <c r="AC42" s="5" t="b">
        <v>0</v>
      </c>
      <c r="AD42" s="5" t="b">
        <v>0</v>
      </c>
      <c r="AE42" s="5" t="b">
        <v>0</v>
      </c>
      <c r="AF42" s="5" t="b">
        <v>0</v>
      </c>
      <c r="AG42" s="5" t="b">
        <v>0</v>
      </c>
      <c r="AH42" s="5" t="b">
        <v>0</v>
      </c>
      <c r="AI42" s="5" t="b">
        <v>0</v>
      </c>
      <c r="AJ42" s="5" t="b">
        <v>1</v>
      </c>
      <c r="AK42" s="5" t="b">
        <v>0</v>
      </c>
      <c r="AL42" s="5" t="b">
        <v>1</v>
      </c>
      <c r="AM42" s="5">
        <v>2</v>
      </c>
      <c r="AN42" s="5" t="s">
        <v>30</v>
      </c>
      <c r="AO42" s="5" t="s">
        <v>292</v>
      </c>
      <c r="AP42" s="5" t="s">
        <v>293</v>
      </c>
      <c r="AQ42" s="5">
        <v>2</v>
      </c>
      <c r="AR42" s="5" t="s">
        <v>130</v>
      </c>
      <c r="AS42" s="5">
        <v>2</v>
      </c>
      <c r="AT42" s="5" t="s">
        <v>63</v>
      </c>
      <c r="AU42" s="5">
        <v>5</v>
      </c>
      <c r="AV42" s="5" t="s">
        <v>70</v>
      </c>
      <c r="AW42" s="5">
        <v>2</v>
      </c>
      <c r="AX42" s="5" t="s">
        <v>72</v>
      </c>
      <c r="AY42" s="5">
        <v>12</v>
      </c>
      <c r="AZ42" s="5" t="s">
        <v>80</v>
      </c>
      <c r="BA42" s="5">
        <v>2</v>
      </c>
      <c r="BB42" s="5" t="s">
        <v>84</v>
      </c>
      <c r="BC42" s="5">
        <v>3</v>
      </c>
      <c r="BD42" s="5" t="s">
        <v>90</v>
      </c>
      <c r="BE42" s="5">
        <v>2</v>
      </c>
      <c r="BF42" s="5" t="s">
        <v>92</v>
      </c>
      <c r="BG42" s="5" t="b">
        <v>1</v>
      </c>
      <c r="BH42" s="5" t="b">
        <v>0</v>
      </c>
      <c r="BI42" s="5" t="b">
        <v>1</v>
      </c>
      <c r="BJ42" s="5" t="b">
        <v>1</v>
      </c>
      <c r="BK42" s="5">
        <v>3</v>
      </c>
      <c r="BL42" s="5">
        <v>2</v>
      </c>
      <c r="BM42" s="5" t="s">
        <v>95</v>
      </c>
      <c r="BN42" s="5" t="s">
        <v>294</v>
      </c>
      <c r="BO42" s="5">
        <v>2</v>
      </c>
      <c r="BP42" s="5" t="s">
        <v>101</v>
      </c>
      <c r="BQ42" s="5" t="s">
        <v>295</v>
      </c>
      <c r="BR42" s="5">
        <v>2</v>
      </c>
      <c r="BS42" s="5" t="s">
        <v>105</v>
      </c>
      <c r="BT42" s="5">
        <v>2</v>
      </c>
      <c r="BU42" s="5" t="s">
        <v>111</v>
      </c>
      <c r="BV42" s="5">
        <v>2</v>
      </c>
      <c r="BW42" s="5" t="s">
        <v>116</v>
      </c>
      <c r="BX42" s="5">
        <v>2</v>
      </c>
      <c r="BY42" s="5" t="s">
        <v>122</v>
      </c>
      <c r="BZ42" s="5" t="b">
        <v>1</v>
      </c>
      <c r="CA42" s="5" t="b">
        <v>1</v>
      </c>
      <c r="CB42" s="5" t="b">
        <v>1</v>
      </c>
      <c r="CC42" s="5" t="b">
        <v>1</v>
      </c>
      <c r="CD42" s="5" t="b">
        <v>1</v>
      </c>
      <c r="CE42" s="5">
        <v>5</v>
      </c>
      <c r="CF42" s="5">
        <v>6</v>
      </c>
      <c r="CG42" s="5">
        <v>9</v>
      </c>
      <c r="CH42" s="5" t="s">
        <v>296</v>
      </c>
      <c r="CI42" s="5" t="s">
        <v>297</v>
      </c>
      <c r="CJ42" s="5" t="b">
        <v>1</v>
      </c>
      <c r="CK42" s="5" t="b">
        <v>0</v>
      </c>
      <c r="CL42" s="5" t="b">
        <v>0</v>
      </c>
      <c r="CM42" s="5" t="b">
        <v>1</v>
      </c>
      <c r="CN42" s="5" t="b">
        <v>0</v>
      </c>
      <c r="CO42" s="5" t="b">
        <v>0</v>
      </c>
      <c r="CP42" s="5" t="b">
        <v>0</v>
      </c>
      <c r="CQ42" s="5" t="b">
        <v>0</v>
      </c>
      <c r="CR42" s="5" t="b">
        <v>0</v>
      </c>
      <c r="CS42" s="5" t="b">
        <v>0</v>
      </c>
      <c r="CT42" s="5" t="b">
        <v>0</v>
      </c>
      <c r="CU42" s="5" t="b">
        <v>0</v>
      </c>
      <c r="CV42" s="5" t="b">
        <v>0</v>
      </c>
      <c r="CW42" s="5" t="b">
        <v>1</v>
      </c>
      <c r="CX42" s="5" t="b">
        <v>0</v>
      </c>
      <c r="CY42" s="5" t="b">
        <v>0</v>
      </c>
      <c r="CZ42" s="5" t="b">
        <v>0</v>
      </c>
      <c r="DA42" s="5" t="b">
        <v>0</v>
      </c>
      <c r="DB42" s="5" t="b">
        <v>0</v>
      </c>
      <c r="DC42" s="5" t="b">
        <v>0</v>
      </c>
      <c r="DD42" s="5" t="b">
        <v>0</v>
      </c>
      <c r="DE42" s="5" t="b">
        <v>0</v>
      </c>
      <c r="DF42" s="5" t="b">
        <v>0</v>
      </c>
      <c r="DG42" s="5" t="b">
        <v>0</v>
      </c>
      <c r="DH42" s="5" t="b">
        <v>0</v>
      </c>
      <c r="DI42" s="5" t="b">
        <v>0</v>
      </c>
      <c r="DJ42" s="5" t="b">
        <v>1</v>
      </c>
      <c r="DK42" s="5" t="s">
        <v>298</v>
      </c>
      <c r="DL42" s="5">
        <v>2</v>
      </c>
      <c r="DM42" s="5" t="s">
        <v>30</v>
      </c>
      <c r="DN42" s="5">
        <v>3</v>
      </c>
      <c r="DO42" s="5" t="s">
        <v>63</v>
      </c>
      <c r="DP42" s="5">
        <v>2</v>
      </c>
      <c r="DQ42" s="5" t="s">
        <v>63</v>
      </c>
      <c r="DR42" s="5">
        <v>4</v>
      </c>
      <c r="DS42" s="5" t="s">
        <v>77</v>
      </c>
      <c r="DT42" s="5">
        <v>7</v>
      </c>
      <c r="DU42" s="5" t="s">
        <v>66</v>
      </c>
      <c r="DV42" s="5">
        <v>8</v>
      </c>
      <c r="DW42" s="5" t="s">
        <v>81</v>
      </c>
      <c r="DX42" s="5">
        <v>2</v>
      </c>
      <c r="DY42" s="5" t="s">
        <v>84</v>
      </c>
      <c r="DZ42" s="5">
        <v>3</v>
      </c>
      <c r="EA42" s="5" t="s">
        <v>90</v>
      </c>
      <c r="EB42" s="5">
        <v>3</v>
      </c>
      <c r="EC42" s="5" t="s">
        <v>93</v>
      </c>
      <c r="ED42" s="5" t="b">
        <v>1</v>
      </c>
      <c r="EE42" s="5" t="b">
        <v>0</v>
      </c>
      <c r="EF42" s="5" t="b">
        <v>0</v>
      </c>
      <c r="EG42" s="5" t="b">
        <v>1</v>
      </c>
      <c r="EH42" s="5">
        <v>2</v>
      </c>
      <c r="EI42" s="5">
        <v>3</v>
      </c>
      <c r="EJ42" s="5" t="s">
        <v>139</v>
      </c>
    </row>
    <row r="43" spans="1:140" x14ac:dyDescent="0.25">
      <c r="A43" s="5">
        <v>42</v>
      </c>
      <c r="B43" s="11">
        <v>45032</v>
      </c>
      <c r="C43" s="12">
        <v>0.54513888888888895</v>
      </c>
      <c r="D43" s="12" t="str">
        <f t="shared" si="1"/>
        <v>42   04/16/2023   13:05</v>
      </c>
      <c r="E43" s="5">
        <v>2</v>
      </c>
      <c r="F43" s="5" t="s">
        <v>1</v>
      </c>
      <c r="G43" s="5">
        <v>50</v>
      </c>
      <c r="H43" s="5">
        <v>2</v>
      </c>
      <c r="I43" s="5" t="s">
        <v>2</v>
      </c>
      <c r="J43" s="5">
        <v>6</v>
      </c>
      <c r="K43" s="5" t="s">
        <v>15</v>
      </c>
      <c r="L43" s="5" t="b">
        <v>1</v>
      </c>
      <c r="M43" s="5" t="b">
        <v>0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1</v>
      </c>
      <c r="T43" s="5" t="b">
        <v>0</v>
      </c>
      <c r="U43" s="5" t="b">
        <v>0</v>
      </c>
      <c r="V43" s="5" t="b">
        <v>0</v>
      </c>
      <c r="W43" s="5" t="b">
        <v>0</v>
      </c>
      <c r="X43" s="5" t="b">
        <v>0</v>
      </c>
      <c r="Y43" s="5" t="b">
        <v>0</v>
      </c>
      <c r="Z43" s="5" t="b">
        <v>1</v>
      </c>
      <c r="AA43" s="5" t="b">
        <v>0</v>
      </c>
      <c r="AB43" s="5" t="b">
        <v>0</v>
      </c>
      <c r="AC43" s="5" t="b">
        <v>0</v>
      </c>
      <c r="AD43" s="5" t="b">
        <v>0</v>
      </c>
      <c r="AE43" s="5" t="b">
        <v>0</v>
      </c>
      <c r="AF43" s="5" t="b">
        <v>0</v>
      </c>
      <c r="AG43" s="5" t="b">
        <v>0</v>
      </c>
      <c r="AH43" s="5" t="b">
        <v>0</v>
      </c>
      <c r="AI43" s="5" t="b">
        <v>0</v>
      </c>
      <c r="AJ43" s="5" t="b">
        <v>1</v>
      </c>
      <c r="AK43" s="5" t="b">
        <v>0</v>
      </c>
      <c r="AL43" s="5" t="b">
        <v>1</v>
      </c>
      <c r="AM43" s="5">
        <v>2</v>
      </c>
      <c r="AN43" s="5" t="s">
        <v>30</v>
      </c>
      <c r="AO43" s="5" t="s">
        <v>292</v>
      </c>
      <c r="AP43" s="5" t="s">
        <v>293</v>
      </c>
      <c r="AQ43" s="5">
        <v>2</v>
      </c>
      <c r="AR43" s="5" t="s">
        <v>130</v>
      </c>
      <c r="AS43" s="5">
        <v>2</v>
      </c>
      <c r="AT43" s="5" t="s">
        <v>63</v>
      </c>
      <c r="AU43" s="5">
        <v>5</v>
      </c>
      <c r="AV43" s="5" t="s">
        <v>70</v>
      </c>
      <c r="AW43" s="5">
        <v>2</v>
      </c>
      <c r="AX43" s="5" t="s">
        <v>72</v>
      </c>
      <c r="AY43" s="5">
        <v>12</v>
      </c>
      <c r="AZ43" s="5" t="s">
        <v>80</v>
      </c>
      <c r="BA43" s="5">
        <v>2</v>
      </c>
      <c r="BB43" s="5" t="s">
        <v>84</v>
      </c>
      <c r="BC43" s="5">
        <v>3</v>
      </c>
      <c r="BD43" s="5" t="s">
        <v>90</v>
      </c>
      <c r="BE43" s="5">
        <v>2</v>
      </c>
      <c r="BF43" s="5" t="s">
        <v>92</v>
      </c>
      <c r="BG43" s="5" t="b">
        <v>1</v>
      </c>
      <c r="BH43" s="5" t="b">
        <v>0</v>
      </c>
      <c r="BI43" s="5" t="b">
        <v>1</v>
      </c>
      <c r="BJ43" s="5" t="b">
        <v>1</v>
      </c>
      <c r="BK43" s="5">
        <v>3</v>
      </c>
      <c r="BL43" s="5">
        <v>2</v>
      </c>
      <c r="BM43" s="5" t="s">
        <v>95</v>
      </c>
      <c r="BN43" s="5" t="s">
        <v>294</v>
      </c>
      <c r="BO43" s="5">
        <v>2</v>
      </c>
      <c r="BP43" s="5" t="s">
        <v>101</v>
      </c>
      <c r="BQ43" s="5" t="s">
        <v>295</v>
      </c>
      <c r="BR43" s="5">
        <v>2</v>
      </c>
      <c r="BS43" s="5" t="s">
        <v>105</v>
      </c>
      <c r="BT43" s="5">
        <v>2</v>
      </c>
      <c r="BU43" s="5" t="s">
        <v>111</v>
      </c>
      <c r="BV43" s="5">
        <v>2</v>
      </c>
      <c r="BW43" s="5" t="s">
        <v>116</v>
      </c>
      <c r="BX43" s="5">
        <v>2</v>
      </c>
      <c r="BY43" s="5" t="s">
        <v>122</v>
      </c>
      <c r="BZ43" s="5" t="b">
        <v>1</v>
      </c>
      <c r="CA43" s="5" t="b">
        <v>1</v>
      </c>
      <c r="CB43" s="5" t="b">
        <v>1</v>
      </c>
      <c r="CC43" s="5" t="b">
        <v>1</v>
      </c>
      <c r="CD43" s="5" t="b">
        <v>1</v>
      </c>
      <c r="CE43" s="5">
        <v>5</v>
      </c>
      <c r="CF43" s="5">
        <v>6</v>
      </c>
      <c r="CG43" s="5">
        <v>9</v>
      </c>
      <c r="CH43" s="5" t="s">
        <v>296</v>
      </c>
      <c r="CI43" s="5" t="s">
        <v>297</v>
      </c>
      <c r="CJ43" s="5" t="b">
        <v>1</v>
      </c>
      <c r="CK43" s="5" t="b">
        <v>0</v>
      </c>
      <c r="CL43" s="5" t="b">
        <v>0</v>
      </c>
      <c r="CM43" s="5" t="b">
        <v>1</v>
      </c>
      <c r="CN43" s="5" t="b">
        <v>0</v>
      </c>
      <c r="CO43" s="5" t="b">
        <v>0</v>
      </c>
      <c r="CP43" s="5" t="b">
        <v>0</v>
      </c>
      <c r="CQ43" s="5" t="b">
        <v>0</v>
      </c>
      <c r="CR43" s="5" t="b">
        <v>0</v>
      </c>
      <c r="CS43" s="5" t="b">
        <v>0</v>
      </c>
      <c r="CT43" s="5" t="b">
        <v>0</v>
      </c>
      <c r="CU43" s="5" t="b">
        <v>0</v>
      </c>
      <c r="CV43" s="5" t="b">
        <v>0</v>
      </c>
      <c r="CW43" s="5" t="b">
        <v>1</v>
      </c>
      <c r="CX43" s="5" t="b">
        <v>0</v>
      </c>
      <c r="CY43" s="5" t="b">
        <v>0</v>
      </c>
      <c r="CZ43" s="5" t="b">
        <v>0</v>
      </c>
      <c r="DA43" s="5" t="b">
        <v>0</v>
      </c>
      <c r="DB43" s="5" t="b">
        <v>0</v>
      </c>
      <c r="DC43" s="5" t="b">
        <v>0</v>
      </c>
      <c r="DD43" s="5" t="b">
        <v>0</v>
      </c>
      <c r="DE43" s="5" t="b">
        <v>0</v>
      </c>
      <c r="DF43" s="5" t="b">
        <v>0</v>
      </c>
      <c r="DG43" s="5" t="b">
        <v>0</v>
      </c>
      <c r="DH43" s="5" t="b">
        <v>0</v>
      </c>
      <c r="DI43" s="5" t="b">
        <v>0</v>
      </c>
      <c r="DJ43" s="5" t="b">
        <v>1</v>
      </c>
      <c r="DK43" s="5" t="s">
        <v>298</v>
      </c>
      <c r="DL43" s="5">
        <v>2</v>
      </c>
      <c r="DM43" s="5" t="s">
        <v>30</v>
      </c>
      <c r="DN43" s="5">
        <v>3</v>
      </c>
      <c r="DO43" s="5" t="s">
        <v>63</v>
      </c>
      <c r="DP43" s="5">
        <v>2</v>
      </c>
      <c r="DQ43" s="5" t="s">
        <v>63</v>
      </c>
      <c r="DR43" s="5">
        <v>4</v>
      </c>
      <c r="DS43" s="5" t="s">
        <v>77</v>
      </c>
      <c r="DT43" s="5">
        <v>7</v>
      </c>
      <c r="DU43" s="5" t="s">
        <v>66</v>
      </c>
      <c r="DV43" s="5">
        <v>8</v>
      </c>
      <c r="DW43" s="5" t="s">
        <v>81</v>
      </c>
      <c r="DX43" s="5">
        <v>2</v>
      </c>
      <c r="DY43" s="5" t="s">
        <v>84</v>
      </c>
      <c r="DZ43" s="5">
        <v>3</v>
      </c>
      <c r="EA43" s="5" t="s">
        <v>90</v>
      </c>
      <c r="EB43" s="5">
        <v>3</v>
      </c>
      <c r="EC43" s="5" t="s">
        <v>93</v>
      </c>
      <c r="ED43" s="5" t="b">
        <v>1</v>
      </c>
      <c r="EE43" s="5" t="b">
        <v>0</v>
      </c>
      <c r="EF43" s="5" t="b">
        <v>0</v>
      </c>
      <c r="EG43" s="5" t="b">
        <v>1</v>
      </c>
      <c r="EH43" s="5">
        <v>2</v>
      </c>
      <c r="EI43" s="5">
        <v>3</v>
      </c>
      <c r="EJ43" s="5" t="s">
        <v>139</v>
      </c>
    </row>
    <row r="44" spans="1:140" x14ac:dyDescent="0.25">
      <c r="A44" s="5">
        <v>43</v>
      </c>
      <c r="B44" s="11">
        <v>45032</v>
      </c>
      <c r="C44" s="12">
        <v>0.54513888888888895</v>
      </c>
      <c r="D44" s="12" t="str">
        <f t="shared" si="1"/>
        <v>43   04/16/2023   13:05</v>
      </c>
      <c r="E44" s="5">
        <v>2</v>
      </c>
      <c r="F44" s="5" t="s">
        <v>1</v>
      </c>
      <c r="G44" s="5">
        <v>50</v>
      </c>
      <c r="H44" s="5">
        <v>2</v>
      </c>
      <c r="I44" s="5" t="s">
        <v>2</v>
      </c>
      <c r="J44" s="5">
        <v>6</v>
      </c>
      <c r="K44" s="5" t="s">
        <v>15</v>
      </c>
      <c r="L44" s="5" t="b">
        <v>1</v>
      </c>
      <c r="M44" s="5" t="b">
        <v>0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1</v>
      </c>
      <c r="T44" s="5" t="b">
        <v>0</v>
      </c>
      <c r="U44" s="5" t="b">
        <v>0</v>
      </c>
      <c r="V44" s="5" t="b">
        <v>0</v>
      </c>
      <c r="W44" s="5" t="b">
        <v>0</v>
      </c>
      <c r="X44" s="5" t="b">
        <v>0</v>
      </c>
      <c r="Y44" s="5" t="b">
        <v>0</v>
      </c>
      <c r="Z44" s="5" t="b">
        <v>1</v>
      </c>
      <c r="AA44" s="5" t="b">
        <v>0</v>
      </c>
      <c r="AB44" s="5" t="b">
        <v>0</v>
      </c>
      <c r="AC44" s="5" t="b">
        <v>0</v>
      </c>
      <c r="AD44" s="5" t="b">
        <v>0</v>
      </c>
      <c r="AE44" s="5" t="b">
        <v>0</v>
      </c>
      <c r="AF44" s="5" t="b">
        <v>0</v>
      </c>
      <c r="AG44" s="5" t="b">
        <v>0</v>
      </c>
      <c r="AH44" s="5" t="b">
        <v>0</v>
      </c>
      <c r="AI44" s="5" t="b">
        <v>0</v>
      </c>
      <c r="AJ44" s="5" t="b">
        <v>1</v>
      </c>
      <c r="AK44" s="5" t="b">
        <v>0</v>
      </c>
      <c r="AL44" s="5" t="b">
        <v>1</v>
      </c>
      <c r="AM44" s="5">
        <v>2</v>
      </c>
      <c r="AN44" s="5" t="s">
        <v>30</v>
      </c>
      <c r="AO44" s="5" t="s">
        <v>292</v>
      </c>
      <c r="AP44" s="5" t="s">
        <v>293</v>
      </c>
      <c r="AQ44" s="5">
        <v>2</v>
      </c>
      <c r="AR44" s="5" t="s">
        <v>130</v>
      </c>
      <c r="AS44" s="5">
        <v>2</v>
      </c>
      <c r="AT44" s="5" t="s">
        <v>63</v>
      </c>
      <c r="AU44" s="5">
        <v>5</v>
      </c>
      <c r="AV44" s="5" t="s">
        <v>70</v>
      </c>
      <c r="AW44" s="5">
        <v>2</v>
      </c>
      <c r="AX44" s="5" t="s">
        <v>72</v>
      </c>
      <c r="AY44" s="5">
        <v>12</v>
      </c>
      <c r="AZ44" s="5" t="s">
        <v>80</v>
      </c>
      <c r="BA44" s="5">
        <v>2</v>
      </c>
      <c r="BB44" s="5" t="s">
        <v>84</v>
      </c>
      <c r="BC44" s="5">
        <v>3</v>
      </c>
      <c r="BD44" s="5" t="s">
        <v>90</v>
      </c>
      <c r="BE44" s="5">
        <v>2</v>
      </c>
      <c r="BF44" s="5" t="s">
        <v>92</v>
      </c>
      <c r="BG44" s="5" t="b">
        <v>1</v>
      </c>
      <c r="BH44" s="5" t="b">
        <v>0</v>
      </c>
      <c r="BI44" s="5" t="b">
        <v>1</v>
      </c>
      <c r="BJ44" s="5" t="b">
        <v>1</v>
      </c>
      <c r="BK44" s="5">
        <v>3</v>
      </c>
      <c r="BL44" s="5">
        <v>2</v>
      </c>
      <c r="BM44" s="5" t="s">
        <v>95</v>
      </c>
      <c r="BN44" s="5" t="s">
        <v>294</v>
      </c>
      <c r="BO44" s="5">
        <v>2</v>
      </c>
      <c r="BP44" s="5" t="s">
        <v>101</v>
      </c>
      <c r="BQ44" s="5" t="s">
        <v>295</v>
      </c>
      <c r="BR44" s="5">
        <v>2</v>
      </c>
      <c r="BS44" s="5" t="s">
        <v>105</v>
      </c>
      <c r="BT44" s="5">
        <v>2</v>
      </c>
      <c r="BU44" s="5" t="s">
        <v>111</v>
      </c>
      <c r="BV44" s="5">
        <v>2</v>
      </c>
      <c r="BW44" s="5" t="s">
        <v>116</v>
      </c>
      <c r="BX44" s="5">
        <v>2</v>
      </c>
      <c r="BY44" s="5" t="s">
        <v>122</v>
      </c>
      <c r="BZ44" s="5" t="b">
        <v>1</v>
      </c>
      <c r="CA44" s="5" t="b">
        <v>1</v>
      </c>
      <c r="CB44" s="5" t="b">
        <v>1</v>
      </c>
      <c r="CC44" s="5" t="b">
        <v>1</v>
      </c>
      <c r="CD44" s="5" t="b">
        <v>1</v>
      </c>
      <c r="CE44" s="5">
        <v>5</v>
      </c>
      <c r="CF44" s="5">
        <v>6</v>
      </c>
      <c r="CG44" s="5">
        <v>9</v>
      </c>
      <c r="CH44" s="5" t="s">
        <v>296</v>
      </c>
      <c r="CI44" s="5" t="s">
        <v>297</v>
      </c>
      <c r="CJ44" s="5" t="b">
        <v>1</v>
      </c>
      <c r="CK44" s="5" t="b">
        <v>0</v>
      </c>
      <c r="CL44" s="5" t="b">
        <v>0</v>
      </c>
      <c r="CM44" s="5" t="b">
        <v>1</v>
      </c>
      <c r="CN44" s="5" t="b">
        <v>0</v>
      </c>
      <c r="CO44" s="5" t="b">
        <v>0</v>
      </c>
      <c r="CP44" s="5" t="b">
        <v>0</v>
      </c>
      <c r="CQ44" s="5" t="b">
        <v>0</v>
      </c>
      <c r="CR44" s="5" t="b">
        <v>0</v>
      </c>
      <c r="CS44" s="5" t="b">
        <v>0</v>
      </c>
      <c r="CT44" s="5" t="b">
        <v>0</v>
      </c>
      <c r="CU44" s="5" t="b">
        <v>0</v>
      </c>
      <c r="CV44" s="5" t="b">
        <v>0</v>
      </c>
      <c r="CW44" s="5" t="b">
        <v>1</v>
      </c>
      <c r="CX44" s="5" t="b">
        <v>0</v>
      </c>
      <c r="CY44" s="5" t="b">
        <v>0</v>
      </c>
      <c r="CZ44" s="5" t="b">
        <v>0</v>
      </c>
      <c r="DA44" s="5" t="b">
        <v>0</v>
      </c>
      <c r="DB44" s="5" t="b">
        <v>0</v>
      </c>
      <c r="DC44" s="5" t="b">
        <v>0</v>
      </c>
      <c r="DD44" s="5" t="b">
        <v>0</v>
      </c>
      <c r="DE44" s="5" t="b">
        <v>0</v>
      </c>
      <c r="DF44" s="5" t="b">
        <v>0</v>
      </c>
      <c r="DG44" s="5" t="b">
        <v>0</v>
      </c>
      <c r="DH44" s="5" t="b">
        <v>0</v>
      </c>
      <c r="DI44" s="5" t="b">
        <v>0</v>
      </c>
      <c r="DJ44" s="5" t="b">
        <v>1</v>
      </c>
      <c r="DK44" s="5" t="s">
        <v>298</v>
      </c>
      <c r="DL44" s="5">
        <v>2</v>
      </c>
      <c r="DM44" s="5" t="s">
        <v>30</v>
      </c>
      <c r="DN44" s="5">
        <v>3</v>
      </c>
      <c r="DO44" s="5" t="s">
        <v>63</v>
      </c>
      <c r="DP44" s="5">
        <v>2</v>
      </c>
      <c r="DQ44" s="5" t="s">
        <v>63</v>
      </c>
      <c r="DR44" s="5">
        <v>4</v>
      </c>
      <c r="DS44" s="5" t="s">
        <v>77</v>
      </c>
      <c r="DT44" s="5">
        <v>7</v>
      </c>
      <c r="DU44" s="5" t="s">
        <v>66</v>
      </c>
      <c r="DV44" s="5">
        <v>8</v>
      </c>
      <c r="DW44" s="5" t="s">
        <v>81</v>
      </c>
      <c r="DX44" s="5">
        <v>2</v>
      </c>
      <c r="DY44" s="5" t="s">
        <v>84</v>
      </c>
      <c r="DZ44" s="5">
        <v>3</v>
      </c>
      <c r="EA44" s="5" t="s">
        <v>90</v>
      </c>
      <c r="EB44" s="5">
        <v>3</v>
      </c>
      <c r="EC44" s="5" t="s">
        <v>93</v>
      </c>
      <c r="ED44" s="5" t="b">
        <v>1</v>
      </c>
      <c r="EE44" s="5" t="b">
        <v>0</v>
      </c>
      <c r="EF44" s="5" t="b">
        <v>0</v>
      </c>
      <c r="EG44" s="5" t="b">
        <v>1</v>
      </c>
      <c r="EH44" s="5">
        <v>2</v>
      </c>
      <c r="EI44" s="5">
        <v>3</v>
      </c>
      <c r="EJ44" s="5" t="s">
        <v>139</v>
      </c>
    </row>
    <row r="45" spans="1:140" x14ac:dyDescent="0.25">
      <c r="A45" s="5">
        <v>44</v>
      </c>
      <c r="B45" s="11">
        <v>45032</v>
      </c>
      <c r="C45" s="12">
        <v>0.54513888888888895</v>
      </c>
      <c r="D45" s="12" t="str">
        <f t="shared" si="1"/>
        <v>44   04/16/2023   13:05</v>
      </c>
      <c r="E45" s="5">
        <v>2</v>
      </c>
      <c r="F45" s="5" t="s">
        <v>1</v>
      </c>
      <c r="G45" s="5">
        <v>50</v>
      </c>
      <c r="H45" s="5">
        <v>2</v>
      </c>
      <c r="I45" s="5" t="s">
        <v>2</v>
      </c>
      <c r="J45" s="5">
        <v>6</v>
      </c>
      <c r="K45" s="5" t="s">
        <v>15</v>
      </c>
      <c r="L45" s="5" t="b">
        <v>1</v>
      </c>
      <c r="M45" s="5" t="b">
        <v>0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1</v>
      </c>
      <c r="T45" s="5" t="b">
        <v>0</v>
      </c>
      <c r="U45" s="5" t="b">
        <v>0</v>
      </c>
      <c r="V45" s="5" t="b">
        <v>0</v>
      </c>
      <c r="W45" s="5" t="b">
        <v>0</v>
      </c>
      <c r="X45" s="5" t="b">
        <v>0</v>
      </c>
      <c r="Y45" s="5" t="b">
        <v>0</v>
      </c>
      <c r="Z45" s="5" t="b">
        <v>1</v>
      </c>
      <c r="AA45" s="5" t="b">
        <v>0</v>
      </c>
      <c r="AB45" s="5" t="b">
        <v>0</v>
      </c>
      <c r="AC45" s="5" t="b">
        <v>0</v>
      </c>
      <c r="AD45" s="5" t="b">
        <v>0</v>
      </c>
      <c r="AE45" s="5" t="b">
        <v>0</v>
      </c>
      <c r="AF45" s="5" t="b">
        <v>0</v>
      </c>
      <c r="AG45" s="5" t="b">
        <v>0</v>
      </c>
      <c r="AH45" s="5" t="b">
        <v>0</v>
      </c>
      <c r="AI45" s="5" t="b">
        <v>0</v>
      </c>
      <c r="AJ45" s="5" t="b">
        <v>1</v>
      </c>
      <c r="AK45" s="5" t="b">
        <v>0</v>
      </c>
      <c r="AL45" s="5" t="b">
        <v>1</v>
      </c>
      <c r="AM45" s="5">
        <v>2</v>
      </c>
      <c r="AN45" s="5" t="s">
        <v>30</v>
      </c>
      <c r="AO45" s="5" t="s">
        <v>292</v>
      </c>
      <c r="AP45" s="5" t="s">
        <v>293</v>
      </c>
      <c r="AQ45" s="5">
        <v>2</v>
      </c>
      <c r="AR45" s="5" t="s">
        <v>130</v>
      </c>
      <c r="AS45" s="5">
        <v>2</v>
      </c>
      <c r="AT45" s="5" t="s">
        <v>63</v>
      </c>
      <c r="AU45" s="5">
        <v>5</v>
      </c>
      <c r="AV45" s="5" t="s">
        <v>70</v>
      </c>
      <c r="AW45" s="5">
        <v>2</v>
      </c>
      <c r="AX45" s="5" t="s">
        <v>72</v>
      </c>
      <c r="AY45" s="5">
        <v>12</v>
      </c>
      <c r="AZ45" s="5" t="s">
        <v>80</v>
      </c>
      <c r="BA45" s="5">
        <v>2</v>
      </c>
      <c r="BB45" s="5" t="s">
        <v>84</v>
      </c>
      <c r="BC45" s="5">
        <v>3</v>
      </c>
      <c r="BD45" s="5" t="s">
        <v>90</v>
      </c>
      <c r="BE45" s="5">
        <v>2</v>
      </c>
      <c r="BF45" s="5" t="s">
        <v>92</v>
      </c>
      <c r="BG45" s="5" t="b">
        <v>1</v>
      </c>
      <c r="BH45" s="5" t="b">
        <v>0</v>
      </c>
      <c r="BI45" s="5" t="b">
        <v>1</v>
      </c>
      <c r="BJ45" s="5" t="b">
        <v>1</v>
      </c>
      <c r="BK45" s="5">
        <v>3</v>
      </c>
      <c r="BL45" s="5">
        <v>2</v>
      </c>
      <c r="BM45" s="5" t="s">
        <v>95</v>
      </c>
      <c r="BN45" s="5" t="s">
        <v>294</v>
      </c>
      <c r="BO45" s="5">
        <v>2</v>
      </c>
      <c r="BP45" s="5" t="s">
        <v>101</v>
      </c>
      <c r="BQ45" s="5" t="s">
        <v>295</v>
      </c>
      <c r="BR45" s="5">
        <v>2</v>
      </c>
      <c r="BS45" s="5" t="s">
        <v>105</v>
      </c>
      <c r="BT45" s="5">
        <v>2</v>
      </c>
      <c r="BU45" s="5" t="s">
        <v>111</v>
      </c>
      <c r="BV45" s="5">
        <v>2</v>
      </c>
      <c r="BW45" s="5" t="s">
        <v>116</v>
      </c>
      <c r="BX45" s="5">
        <v>2</v>
      </c>
      <c r="BY45" s="5" t="s">
        <v>122</v>
      </c>
      <c r="BZ45" s="5" t="b">
        <v>1</v>
      </c>
      <c r="CA45" s="5" t="b">
        <v>1</v>
      </c>
      <c r="CB45" s="5" t="b">
        <v>1</v>
      </c>
      <c r="CC45" s="5" t="b">
        <v>1</v>
      </c>
      <c r="CD45" s="5" t="b">
        <v>1</v>
      </c>
      <c r="CE45" s="5">
        <v>5</v>
      </c>
      <c r="CF45" s="5">
        <v>6</v>
      </c>
      <c r="CG45" s="5">
        <v>9</v>
      </c>
      <c r="CH45" s="5" t="s">
        <v>296</v>
      </c>
      <c r="CI45" s="5" t="s">
        <v>297</v>
      </c>
      <c r="CJ45" s="5" t="b">
        <v>1</v>
      </c>
      <c r="CK45" s="5" t="b">
        <v>0</v>
      </c>
      <c r="CL45" s="5" t="b">
        <v>0</v>
      </c>
      <c r="CM45" s="5" t="b">
        <v>1</v>
      </c>
      <c r="CN45" s="5" t="b">
        <v>0</v>
      </c>
      <c r="CO45" s="5" t="b">
        <v>0</v>
      </c>
      <c r="CP45" s="5" t="b">
        <v>0</v>
      </c>
      <c r="CQ45" s="5" t="b">
        <v>0</v>
      </c>
      <c r="CR45" s="5" t="b">
        <v>0</v>
      </c>
      <c r="CS45" s="5" t="b">
        <v>0</v>
      </c>
      <c r="CT45" s="5" t="b">
        <v>0</v>
      </c>
      <c r="CU45" s="5" t="b">
        <v>0</v>
      </c>
      <c r="CV45" s="5" t="b">
        <v>0</v>
      </c>
      <c r="CW45" s="5" t="b">
        <v>1</v>
      </c>
      <c r="CX45" s="5" t="b">
        <v>0</v>
      </c>
      <c r="CY45" s="5" t="b">
        <v>0</v>
      </c>
      <c r="CZ45" s="5" t="b">
        <v>0</v>
      </c>
      <c r="DA45" s="5" t="b">
        <v>0</v>
      </c>
      <c r="DB45" s="5" t="b">
        <v>0</v>
      </c>
      <c r="DC45" s="5" t="b">
        <v>0</v>
      </c>
      <c r="DD45" s="5" t="b">
        <v>0</v>
      </c>
      <c r="DE45" s="5" t="b">
        <v>0</v>
      </c>
      <c r="DF45" s="5" t="b">
        <v>0</v>
      </c>
      <c r="DG45" s="5" t="b">
        <v>0</v>
      </c>
      <c r="DH45" s="5" t="b">
        <v>0</v>
      </c>
      <c r="DI45" s="5" t="b">
        <v>0</v>
      </c>
      <c r="DJ45" s="5" t="b">
        <v>1</v>
      </c>
      <c r="DK45" s="5" t="s">
        <v>298</v>
      </c>
      <c r="DL45" s="5">
        <v>2</v>
      </c>
      <c r="DM45" s="5" t="s">
        <v>30</v>
      </c>
      <c r="DN45" s="5">
        <v>3</v>
      </c>
      <c r="DO45" s="5" t="s">
        <v>63</v>
      </c>
      <c r="DP45" s="5">
        <v>2</v>
      </c>
      <c r="DQ45" s="5" t="s">
        <v>63</v>
      </c>
      <c r="DR45" s="5">
        <v>4</v>
      </c>
      <c r="DS45" s="5" t="s">
        <v>77</v>
      </c>
      <c r="DT45" s="5">
        <v>7</v>
      </c>
      <c r="DU45" s="5" t="s">
        <v>66</v>
      </c>
      <c r="DV45" s="5">
        <v>8</v>
      </c>
      <c r="DW45" s="5" t="s">
        <v>81</v>
      </c>
      <c r="DX45" s="5">
        <v>2</v>
      </c>
      <c r="DY45" s="5" t="s">
        <v>84</v>
      </c>
      <c r="DZ45" s="5">
        <v>3</v>
      </c>
      <c r="EA45" s="5" t="s">
        <v>90</v>
      </c>
      <c r="EB45" s="5">
        <v>3</v>
      </c>
      <c r="EC45" s="5" t="s">
        <v>93</v>
      </c>
      <c r="ED45" s="5" t="b">
        <v>1</v>
      </c>
      <c r="EE45" s="5" t="b">
        <v>0</v>
      </c>
      <c r="EF45" s="5" t="b">
        <v>0</v>
      </c>
      <c r="EG45" s="5" t="b">
        <v>1</v>
      </c>
      <c r="EH45" s="5">
        <v>2</v>
      </c>
      <c r="EI45" s="5">
        <v>3</v>
      </c>
      <c r="EJ45" s="5" t="s">
        <v>139</v>
      </c>
    </row>
    <row r="46" spans="1:140" x14ac:dyDescent="0.25">
      <c r="A46" s="5">
        <v>45</v>
      </c>
      <c r="B46" s="11">
        <v>45032</v>
      </c>
      <c r="C46" s="12">
        <v>0.54513888888888895</v>
      </c>
      <c r="D46" s="12" t="str">
        <f t="shared" si="1"/>
        <v>45   04/16/2023   13:05</v>
      </c>
      <c r="E46" s="5">
        <v>2</v>
      </c>
      <c r="F46" s="5" t="s">
        <v>1</v>
      </c>
      <c r="G46" s="5">
        <v>50</v>
      </c>
      <c r="H46" s="5">
        <v>2</v>
      </c>
      <c r="I46" s="5" t="s">
        <v>2</v>
      </c>
      <c r="J46" s="5">
        <v>6</v>
      </c>
      <c r="K46" s="5" t="s">
        <v>15</v>
      </c>
      <c r="L46" s="5" t="b">
        <v>1</v>
      </c>
      <c r="M46" s="5" t="b">
        <v>0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1</v>
      </c>
      <c r="T46" s="5" t="b">
        <v>0</v>
      </c>
      <c r="U46" s="5" t="b">
        <v>0</v>
      </c>
      <c r="V46" s="5" t="b">
        <v>0</v>
      </c>
      <c r="W46" s="5" t="b">
        <v>0</v>
      </c>
      <c r="X46" s="5" t="b">
        <v>0</v>
      </c>
      <c r="Y46" s="5" t="b">
        <v>0</v>
      </c>
      <c r="Z46" s="5" t="b">
        <v>1</v>
      </c>
      <c r="AA46" s="5" t="b">
        <v>0</v>
      </c>
      <c r="AB46" s="5" t="b">
        <v>0</v>
      </c>
      <c r="AC46" s="5" t="b">
        <v>0</v>
      </c>
      <c r="AD46" s="5" t="b">
        <v>0</v>
      </c>
      <c r="AE46" s="5" t="b">
        <v>0</v>
      </c>
      <c r="AF46" s="5" t="b">
        <v>0</v>
      </c>
      <c r="AG46" s="5" t="b">
        <v>0</v>
      </c>
      <c r="AH46" s="5" t="b">
        <v>0</v>
      </c>
      <c r="AI46" s="5" t="b">
        <v>0</v>
      </c>
      <c r="AJ46" s="5" t="b">
        <v>1</v>
      </c>
      <c r="AK46" s="5" t="b">
        <v>0</v>
      </c>
      <c r="AL46" s="5" t="b">
        <v>1</v>
      </c>
      <c r="AM46" s="5">
        <v>2</v>
      </c>
      <c r="AN46" s="5" t="s">
        <v>30</v>
      </c>
      <c r="AO46" s="5" t="s">
        <v>292</v>
      </c>
      <c r="AP46" s="5" t="s">
        <v>293</v>
      </c>
      <c r="AQ46" s="5">
        <v>2</v>
      </c>
      <c r="AR46" s="5" t="s">
        <v>130</v>
      </c>
      <c r="AS46" s="5">
        <v>2</v>
      </c>
      <c r="AT46" s="5" t="s">
        <v>63</v>
      </c>
      <c r="AU46" s="5">
        <v>5</v>
      </c>
      <c r="AV46" s="5" t="s">
        <v>70</v>
      </c>
      <c r="AW46" s="5">
        <v>2</v>
      </c>
      <c r="AX46" s="5" t="s">
        <v>72</v>
      </c>
      <c r="AY46" s="5">
        <v>12</v>
      </c>
      <c r="AZ46" s="5" t="s">
        <v>80</v>
      </c>
      <c r="BA46" s="5">
        <v>2</v>
      </c>
      <c r="BB46" s="5" t="s">
        <v>84</v>
      </c>
      <c r="BC46" s="5">
        <v>3</v>
      </c>
      <c r="BD46" s="5" t="s">
        <v>90</v>
      </c>
      <c r="BE46" s="5">
        <v>2</v>
      </c>
      <c r="BF46" s="5" t="s">
        <v>92</v>
      </c>
      <c r="BG46" s="5" t="b">
        <v>1</v>
      </c>
      <c r="BH46" s="5" t="b">
        <v>0</v>
      </c>
      <c r="BI46" s="5" t="b">
        <v>1</v>
      </c>
      <c r="BJ46" s="5" t="b">
        <v>1</v>
      </c>
      <c r="BK46" s="5">
        <v>3</v>
      </c>
      <c r="BL46" s="5">
        <v>2</v>
      </c>
      <c r="BM46" s="5" t="s">
        <v>95</v>
      </c>
      <c r="BN46" s="5" t="s">
        <v>294</v>
      </c>
      <c r="BO46" s="5">
        <v>2</v>
      </c>
      <c r="BP46" s="5" t="s">
        <v>101</v>
      </c>
      <c r="BQ46" s="5" t="s">
        <v>295</v>
      </c>
      <c r="BR46" s="5">
        <v>2</v>
      </c>
      <c r="BS46" s="5" t="s">
        <v>105</v>
      </c>
      <c r="BT46" s="5">
        <v>2</v>
      </c>
      <c r="BU46" s="5" t="s">
        <v>111</v>
      </c>
      <c r="BV46" s="5">
        <v>2</v>
      </c>
      <c r="BW46" s="5" t="s">
        <v>116</v>
      </c>
      <c r="BX46" s="5">
        <v>2</v>
      </c>
      <c r="BY46" s="5" t="s">
        <v>122</v>
      </c>
      <c r="BZ46" s="5" t="b">
        <v>1</v>
      </c>
      <c r="CA46" s="5" t="b">
        <v>1</v>
      </c>
      <c r="CB46" s="5" t="b">
        <v>1</v>
      </c>
      <c r="CC46" s="5" t="b">
        <v>1</v>
      </c>
      <c r="CD46" s="5" t="b">
        <v>1</v>
      </c>
      <c r="CE46" s="5">
        <v>5</v>
      </c>
      <c r="CF46" s="5">
        <v>6</v>
      </c>
      <c r="CG46" s="5">
        <v>9</v>
      </c>
      <c r="CH46" s="5" t="s">
        <v>296</v>
      </c>
      <c r="CI46" s="5" t="s">
        <v>297</v>
      </c>
      <c r="CJ46" s="5" t="b">
        <v>1</v>
      </c>
      <c r="CK46" s="5" t="b">
        <v>0</v>
      </c>
      <c r="CL46" s="5" t="b">
        <v>0</v>
      </c>
      <c r="CM46" s="5" t="b">
        <v>1</v>
      </c>
      <c r="CN46" s="5" t="b">
        <v>0</v>
      </c>
      <c r="CO46" s="5" t="b">
        <v>0</v>
      </c>
      <c r="CP46" s="5" t="b">
        <v>0</v>
      </c>
      <c r="CQ46" s="5" t="b">
        <v>0</v>
      </c>
      <c r="CR46" s="5" t="b">
        <v>0</v>
      </c>
      <c r="CS46" s="5" t="b">
        <v>0</v>
      </c>
      <c r="CT46" s="5" t="b">
        <v>0</v>
      </c>
      <c r="CU46" s="5" t="b">
        <v>0</v>
      </c>
      <c r="CV46" s="5" t="b">
        <v>0</v>
      </c>
      <c r="CW46" s="5" t="b">
        <v>1</v>
      </c>
      <c r="CX46" s="5" t="b">
        <v>0</v>
      </c>
      <c r="CY46" s="5" t="b">
        <v>0</v>
      </c>
      <c r="CZ46" s="5" t="b">
        <v>0</v>
      </c>
      <c r="DA46" s="5" t="b">
        <v>0</v>
      </c>
      <c r="DB46" s="5" t="b">
        <v>0</v>
      </c>
      <c r="DC46" s="5" t="b">
        <v>0</v>
      </c>
      <c r="DD46" s="5" t="b">
        <v>0</v>
      </c>
      <c r="DE46" s="5" t="b">
        <v>0</v>
      </c>
      <c r="DF46" s="5" t="b">
        <v>0</v>
      </c>
      <c r="DG46" s="5" t="b">
        <v>0</v>
      </c>
      <c r="DH46" s="5" t="b">
        <v>0</v>
      </c>
      <c r="DI46" s="5" t="b">
        <v>0</v>
      </c>
      <c r="DJ46" s="5" t="b">
        <v>1</v>
      </c>
      <c r="DK46" s="5" t="s">
        <v>298</v>
      </c>
      <c r="DL46" s="5">
        <v>2</v>
      </c>
      <c r="DM46" s="5" t="s">
        <v>30</v>
      </c>
      <c r="DN46" s="5">
        <v>3</v>
      </c>
      <c r="DO46" s="5" t="s">
        <v>63</v>
      </c>
      <c r="DP46" s="5">
        <v>2</v>
      </c>
      <c r="DQ46" s="5" t="s">
        <v>63</v>
      </c>
      <c r="DR46" s="5">
        <v>4</v>
      </c>
      <c r="DS46" s="5" t="s">
        <v>77</v>
      </c>
      <c r="DT46" s="5">
        <v>7</v>
      </c>
      <c r="DU46" s="5" t="s">
        <v>66</v>
      </c>
      <c r="DV46" s="5">
        <v>8</v>
      </c>
      <c r="DW46" s="5" t="s">
        <v>81</v>
      </c>
      <c r="DX46" s="5">
        <v>2</v>
      </c>
      <c r="DY46" s="5" t="s">
        <v>84</v>
      </c>
      <c r="DZ46" s="5">
        <v>3</v>
      </c>
      <c r="EA46" s="5" t="s">
        <v>90</v>
      </c>
      <c r="EB46" s="5">
        <v>3</v>
      </c>
      <c r="EC46" s="5" t="s">
        <v>93</v>
      </c>
      <c r="ED46" s="5" t="b">
        <v>1</v>
      </c>
      <c r="EE46" s="5" t="b">
        <v>0</v>
      </c>
      <c r="EF46" s="5" t="b">
        <v>0</v>
      </c>
      <c r="EG46" s="5" t="b">
        <v>1</v>
      </c>
      <c r="EH46" s="5">
        <v>2</v>
      </c>
      <c r="EI46" s="5">
        <v>3</v>
      </c>
      <c r="EJ46" s="5" t="s">
        <v>139</v>
      </c>
    </row>
    <row r="47" spans="1:140" x14ac:dyDescent="0.25">
      <c r="A47" s="5">
        <v>46</v>
      </c>
      <c r="B47" s="11">
        <v>45032</v>
      </c>
      <c r="C47" s="12">
        <v>0.54513888888888895</v>
      </c>
      <c r="D47" s="12" t="str">
        <f t="shared" si="1"/>
        <v>46   04/16/2023   13:05</v>
      </c>
      <c r="E47" s="5">
        <v>2</v>
      </c>
      <c r="F47" s="5" t="s">
        <v>1</v>
      </c>
      <c r="G47" s="5">
        <v>50</v>
      </c>
      <c r="H47" s="5">
        <v>2</v>
      </c>
      <c r="I47" s="5" t="s">
        <v>2</v>
      </c>
      <c r="J47" s="5">
        <v>6</v>
      </c>
      <c r="K47" s="5" t="s">
        <v>15</v>
      </c>
      <c r="L47" s="5" t="b">
        <v>1</v>
      </c>
      <c r="M47" s="5" t="b">
        <v>0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1</v>
      </c>
      <c r="T47" s="5" t="b">
        <v>0</v>
      </c>
      <c r="U47" s="5" t="b">
        <v>0</v>
      </c>
      <c r="V47" s="5" t="b">
        <v>0</v>
      </c>
      <c r="W47" s="5" t="b">
        <v>0</v>
      </c>
      <c r="X47" s="5" t="b">
        <v>0</v>
      </c>
      <c r="Y47" s="5" t="b">
        <v>0</v>
      </c>
      <c r="Z47" s="5" t="b">
        <v>1</v>
      </c>
      <c r="AA47" s="5" t="b">
        <v>0</v>
      </c>
      <c r="AB47" s="5" t="b">
        <v>0</v>
      </c>
      <c r="AC47" s="5" t="b">
        <v>0</v>
      </c>
      <c r="AD47" s="5" t="b">
        <v>0</v>
      </c>
      <c r="AE47" s="5" t="b">
        <v>0</v>
      </c>
      <c r="AF47" s="5" t="b">
        <v>0</v>
      </c>
      <c r="AG47" s="5" t="b">
        <v>0</v>
      </c>
      <c r="AH47" s="5" t="b">
        <v>0</v>
      </c>
      <c r="AI47" s="5" t="b">
        <v>0</v>
      </c>
      <c r="AJ47" s="5" t="b">
        <v>1</v>
      </c>
      <c r="AK47" s="5" t="b">
        <v>0</v>
      </c>
      <c r="AL47" s="5" t="b">
        <v>1</v>
      </c>
      <c r="AM47" s="5">
        <v>2</v>
      </c>
      <c r="AN47" s="5" t="s">
        <v>30</v>
      </c>
      <c r="AO47" s="5" t="s">
        <v>292</v>
      </c>
      <c r="AP47" s="5" t="s">
        <v>293</v>
      </c>
      <c r="AQ47" s="5">
        <v>2</v>
      </c>
      <c r="AR47" s="5" t="s">
        <v>130</v>
      </c>
      <c r="AS47" s="5">
        <v>2</v>
      </c>
      <c r="AT47" s="5" t="s">
        <v>63</v>
      </c>
      <c r="AU47" s="5">
        <v>5</v>
      </c>
      <c r="AV47" s="5" t="s">
        <v>70</v>
      </c>
      <c r="AW47" s="5">
        <v>2</v>
      </c>
      <c r="AX47" s="5" t="s">
        <v>72</v>
      </c>
      <c r="AY47" s="5">
        <v>12</v>
      </c>
      <c r="AZ47" s="5" t="s">
        <v>80</v>
      </c>
      <c r="BA47" s="5">
        <v>2</v>
      </c>
      <c r="BB47" s="5" t="s">
        <v>84</v>
      </c>
      <c r="BC47" s="5">
        <v>3</v>
      </c>
      <c r="BD47" s="5" t="s">
        <v>90</v>
      </c>
      <c r="BE47" s="5">
        <v>2</v>
      </c>
      <c r="BF47" s="5" t="s">
        <v>92</v>
      </c>
      <c r="BG47" s="5" t="b">
        <v>1</v>
      </c>
      <c r="BH47" s="5" t="b">
        <v>0</v>
      </c>
      <c r="BI47" s="5" t="b">
        <v>1</v>
      </c>
      <c r="BJ47" s="5" t="b">
        <v>1</v>
      </c>
      <c r="BK47" s="5">
        <v>3</v>
      </c>
      <c r="BL47" s="5">
        <v>2</v>
      </c>
      <c r="BM47" s="5" t="s">
        <v>95</v>
      </c>
      <c r="BN47" s="5" t="s">
        <v>294</v>
      </c>
      <c r="BO47" s="5">
        <v>2</v>
      </c>
      <c r="BP47" s="5" t="s">
        <v>101</v>
      </c>
      <c r="BQ47" s="5" t="s">
        <v>295</v>
      </c>
      <c r="BR47" s="5">
        <v>2</v>
      </c>
      <c r="BS47" s="5" t="s">
        <v>105</v>
      </c>
      <c r="BT47" s="5">
        <v>2</v>
      </c>
      <c r="BU47" s="5" t="s">
        <v>111</v>
      </c>
      <c r="BV47" s="5">
        <v>2</v>
      </c>
      <c r="BW47" s="5" t="s">
        <v>116</v>
      </c>
      <c r="BX47" s="5">
        <v>2</v>
      </c>
      <c r="BY47" s="5" t="s">
        <v>122</v>
      </c>
      <c r="BZ47" s="5" t="b">
        <v>1</v>
      </c>
      <c r="CA47" s="5" t="b">
        <v>1</v>
      </c>
      <c r="CB47" s="5" t="b">
        <v>1</v>
      </c>
      <c r="CC47" s="5" t="b">
        <v>1</v>
      </c>
      <c r="CD47" s="5" t="b">
        <v>1</v>
      </c>
      <c r="CE47" s="5">
        <v>5</v>
      </c>
      <c r="CF47" s="5">
        <v>6</v>
      </c>
      <c r="CG47" s="5">
        <v>9</v>
      </c>
      <c r="CH47" s="5" t="s">
        <v>296</v>
      </c>
      <c r="CI47" s="5" t="s">
        <v>297</v>
      </c>
      <c r="CJ47" s="5" t="b">
        <v>1</v>
      </c>
      <c r="CK47" s="5" t="b">
        <v>0</v>
      </c>
      <c r="CL47" s="5" t="b">
        <v>0</v>
      </c>
      <c r="CM47" s="5" t="b">
        <v>1</v>
      </c>
      <c r="CN47" s="5" t="b">
        <v>0</v>
      </c>
      <c r="CO47" s="5" t="b">
        <v>0</v>
      </c>
      <c r="CP47" s="5" t="b">
        <v>0</v>
      </c>
      <c r="CQ47" s="5" t="b">
        <v>0</v>
      </c>
      <c r="CR47" s="5" t="b">
        <v>0</v>
      </c>
      <c r="CS47" s="5" t="b">
        <v>0</v>
      </c>
      <c r="CT47" s="5" t="b">
        <v>0</v>
      </c>
      <c r="CU47" s="5" t="b">
        <v>0</v>
      </c>
      <c r="CV47" s="5" t="b">
        <v>0</v>
      </c>
      <c r="CW47" s="5" t="b">
        <v>1</v>
      </c>
      <c r="CX47" s="5" t="b">
        <v>0</v>
      </c>
      <c r="CY47" s="5" t="b">
        <v>0</v>
      </c>
      <c r="CZ47" s="5" t="b">
        <v>0</v>
      </c>
      <c r="DA47" s="5" t="b">
        <v>0</v>
      </c>
      <c r="DB47" s="5" t="b">
        <v>0</v>
      </c>
      <c r="DC47" s="5" t="b">
        <v>0</v>
      </c>
      <c r="DD47" s="5" t="b">
        <v>0</v>
      </c>
      <c r="DE47" s="5" t="b">
        <v>0</v>
      </c>
      <c r="DF47" s="5" t="b">
        <v>0</v>
      </c>
      <c r="DG47" s="5" t="b">
        <v>0</v>
      </c>
      <c r="DH47" s="5" t="b">
        <v>0</v>
      </c>
      <c r="DI47" s="5" t="b">
        <v>0</v>
      </c>
      <c r="DJ47" s="5" t="b">
        <v>1</v>
      </c>
      <c r="DK47" s="5" t="s">
        <v>298</v>
      </c>
      <c r="DL47" s="5">
        <v>2</v>
      </c>
      <c r="DM47" s="5" t="s">
        <v>30</v>
      </c>
      <c r="DN47" s="5">
        <v>3</v>
      </c>
      <c r="DO47" s="5" t="s">
        <v>63</v>
      </c>
      <c r="DP47" s="5">
        <v>2</v>
      </c>
      <c r="DQ47" s="5" t="s">
        <v>63</v>
      </c>
      <c r="DR47" s="5">
        <v>4</v>
      </c>
      <c r="DS47" s="5" t="s">
        <v>77</v>
      </c>
      <c r="DT47" s="5">
        <v>7</v>
      </c>
      <c r="DU47" s="5" t="s">
        <v>66</v>
      </c>
      <c r="DV47" s="5">
        <v>8</v>
      </c>
      <c r="DW47" s="5" t="s">
        <v>81</v>
      </c>
      <c r="DX47" s="5">
        <v>2</v>
      </c>
      <c r="DY47" s="5" t="s">
        <v>84</v>
      </c>
      <c r="DZ47" s="5">
        <v>3</v>
      </c>
      <c r="EA47" s="5" t="s">
        <v>90</v>
      </c>
      <c r="EB47" s="5">
        <v>3</v>
      </c>
      <c r="EC47" s="5" t="s">
        <v>93</v>
      </c>
      <c r="ED47" s="5" t="b">
        <v>1</v>
      </c>
      <c r="EE47" s="5" t="b">
        <v>0</v>
      </c>
      <c r="EF47" s="5" t="b">
        <v>0</v>
      </c>
      <c r="EG47" s="5" t="b">
        <v>1</v>
      </c>
      <c r="EH47" s="5">
        <v>2</v>
      </c>
      <c r="EI47" s="5">
        <v>3</v>
      </c>
      <c r="EJ47" s="5" t="s">
        <v>139</v>
      </c>
    </row>
    <row r="48" spans="1:140" x14ac:dyDescent="0.25">
      <c r="A48" s="5">
        <v>47</v>
      </c>
      <c r="B48" s="11">
        <v>45032</v>
      </c>
      <c r="C48" s="12">
        <v>0.54513888888888895</v>
      </c>
      <c r="D48" s="12" t="str">
        <f t="shared" si="1"/>
        <v>47   04/16/2023   13:05</v>
      </c>
      <c r="E48" s="5">
        <v>2</v>
      </c>
      <c r="F48" s="5" t="s">
        <v>1</v>
      </c>
      <c r="G48" s="5">
        <v>50</v>
      </c>
      <c r="H48" s="5">
        <v>2</v>
      </c>
      <c r="I48" s="5" t="s">
        <v>2</v>
      </c>
      <c r="J48" s="5">
        <v>6</v>
      </c>
      <c r="K48" s="5" t="s">
        <v>15</v>
      </c>
      <c r="L48" s="5" t="b">
        <v>1</v>
      </c>
      <c r="M48" s="5" t="b">
        <v>0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1</v>
      </c>
      <c r="T48" s="5" t="b">
        <v>0</v>
      </c>
      <c r="U48" s="5" t="b">
        <v>0</v>
      </c>
      <c r="V48" s="5" t="b">
        <v>0</v>
      </c>
      <c r="W48" s="5" t="b">
        <v>0</v>
      </c>
      <c r="X48" s="5" t="b">
        <v>0</v>
      </c>
      <c r="Y48" s="5" t="b">
        <v>0</v>
      </c>
      <c r="Z48" s="5" t="b">
        <v>1</v>
      </c>
      <c r="AA48" s="5" t="b">
        <v>0</v>
      </c>
      <c r="AB48" s="5" t="b">
        <v>0</v>
      </c>
      <c r="AC48" s="5" t="b">
        <v>0</v>
      </c>
      <c r="AD48" s="5" t="b">
        <v>0</v>
      </c>
      <c r="AE48" s="5" t="b">
        <v>0</v>
      </c>
      <c r="AF48" s="5" t="b">
        <v>0</v>
      </c>
      <c r="AG48" s="5" t="b">
        <v>0</v>
      </c>
      <c r="AH48" s="5" t="b">
        <v>0</v>
      </c>
      <c r="AI48" s="5" t="b">
        <v>0</v>
      </c>
      <c r="AJ48" s="5" t="b">
        <v>1</v>
      </c>
      <c r="AK48" s="5" t="b">
        <v>0</v>
      </c>
      <c r="AL48" s="5" t="b">
        <v>1</v>
      </c>
      <c r="AM48" s="5">
        <v>2</v>
      </c>
      <c r="AN48" s="5" t="s">
        <v>30</v>
      </c>
      <c r="AO48" s="5" t="s">
        <v>292</v>
      </c>
      <c r="AP48" s="5" t="s">
        <v>293</v>
      </c>
      <c r="AQ48" s="5">
        <v>2</v>
      </c>
      <c r="AR48" s="5" t="s">
        <v>130</v>
      </c>
      <c r="AS48" s="5">
        <v>2</v>
      </c>
      <c r="AT48" s="5" t="s">
        <v>63</v>
      </c>
      <c r="AU48" s="5">
        <v>5</v>
      </c>
      <c r="AV48" s="5" t="s">
        <v>70</v>
      </c>
      <c r="AW48" s="5">
        <v>2</v>
      </c>
      <c r="AX48" s="5" t="s">
        <v>72</v>
      </c>
      <c r="AY48" s="5">
        <v>12</v>
      </c>
      <c r="AZ48" s="5" t="s">
        <v>80</v>
      </c>
      <c r="BA48" s="5">
        <v>2</v>
      </c>
      <c r="BB48" s="5" t="s">
        <v>84</v>
      </c>
      <c r="BC48" s="5">
        <v>3</v>
      </c>
      <c r="BD48" s="5" t="s">
        <v>90</v>
      </c>
      <c r="BE48" s="5">
        <v>2</v>
      </c>
      <c r="BF48" s="5" t="s">
        <v>92</v>
      </c>
      <c r="BG48" s="5" t="b">
        <v>1</v>
      </c>
      <c r="BH48" s="5" t="b">
        <v>0</v>
      </c>
      <c r="BI48" s="5" t="b">
        <v>1</v>
      </c>
      <c r="BJ48" s="5" t="b">
        <v>1</v>
      </c>
      <c r="BK48" s="5">
        <v>3</v>
      </c>
      <c r="BL48" s="5">
        <v>2</v>
      </c>
      <c r="BM48" s="5" t="s">
        <v>95</v>
      </c>
      <c r="BN48" s="5" t="s">
        <v>294</v>
      </c>
      <c r="BO48" s="5">
        <v>2</v>
      </c>
      <c r="BP48" s="5" t="s">
        <v>101</v>
      </c>
      <c r="BQ48" s="5" t="s">
        <v>295</v>
      </c>
      <c r="BR48" s="5">
        <v>2</v>
      </c>
      <c r="BS48" s="5" t="s">
        <v>105</v>
      </c>
      <c r="BT48" s="5">
        <v>2</v>
      </c>
      <c r="BU48" s="5" t="s">
        <v>111</v>
      </c>
      <c r="BV48" s="5">
        <v>2</v>
      </c>
      <c r="BW48" s="5" t="s">
        <v>116</v>
      </c>
      <c r="BX48" s="5">
        <v>2</v>
      </c>
      <c r="BY48" s="5" t="s">
        <v>122</v>
      </c>
      <c r="BZ48" s="5" t="b">
        <v>1</v>
      </c>
      <c r="CA48" s="5" t="b">
        <v>1</v>
      </c>
      <c r="CB48" s="5" t="b">
        <v>1</v>
      </c>
      <c r="CC48" s="5" t="b">
        <v>1</v>
      </c>
      <c r="CD48" s="5" t="b">
        <v>1</v>
      </c>
      <c r="CE48" s="5">
        <v>5</v>
      </c>
      <c r="CF48" s="5">
        <v>6</v>
      </c>
      <c r="CG48" s="5">
        <v>9</v>
      </c>
      <c r="CH48" s="5" t="s">
        <v>296</v>
      </c>
      <c r="CI48" s="5" t="s">
        <v>297</v>
      </c>
      <c r="CJ48" s="5" t="b">
        <v>1</v>
      </c>
      <c r="CK48" s="5" t="b">
        <v>0</v>
      </c>
      <c r="CL48" s="5" t="b">
        <v>0</v>
      </c>
      <c r="CM48" s="5" t="b">
        <v>1</v>
      </c>
      <c r="CN48" s="5" t="b">
        <v>0</v>
      </c>
      <c r="CO48" s="5" t="b">
        <v>0</v>
      </c>
      <c r="CP48" s="5" t="b">
        <v>0</v>
      </c>
      <c r="CQ48" s="5" t="b">
        <v>0</v>
      </c>
      <c r="CR48" s="5" t="b">
        <v>0</v>
      </c>
      <c r="CS48" s="5" t="b">
        <v>0</v>
      </c>
      <c r="CT48" s="5" t="b">
        <v>0</v>
      </c>
      <c r="CU48" s="5" t="b">
        <v>0</v>
      </c>
      <c r="CV48" s="5" t="b">
        <v>0</v>
      </c>
      <c r="CW48" s="5" t="b">
        <v>1</v>
      </c>
      <c r="CX48" s="5" t="b">
        <v>0</v>
      </c>
      <c r="CY48" s="5" t="b">
        <v>0</v>
      </c>
      <c r="CZ48" s="5" t="b">
        <v>0</v>
      </c>
      <c r="DA48" s="5" t="b">
        <v>0</v>
      </c>
      <c r="DB48" s="5" t="b">
        <v>0</v>
      </c>
      <c r="DC48" s="5" t="b">
        <v>0</v>
      </c>
      <c r="DD48" s="5" t="b">
        <v>0</v>
      </c>
      <c r="DE48" s="5" t="b">
        <v>0</v>
      </c>
      <c r="DF48" s="5" t="b">
        <v>0</v>
      </c>
      <c r="DG48" s="5" t="b">
        <v>0</v>
      </c>
      <c r="DH48" s="5" t="b">
        <v>0</v>
      </c>
      <c r="DI48" s="5" t="b">
        <v>0</v>
      </c>
      <c r="DJ48" s="5" t="b">
        <v>1</v>
      </c>
      <c r="DK48" s="5" t="s">
        <v>298</v>
      </c>
      <c r="DL48" s="5">
        <v>2</v>
      </c>
      <c r="DM48" s="5" t="s">
        <v>30</v>
      </c>
      <c r="DN48" s="5">
        <v>3</v>
      </c>
      <c r="DO48" s="5" t="s">
        <v>63</v>
      </c>
      <c r="DP48" s="5">
        <v>2</v>
      </c>
      <c r="DQ48" s="5" t="s">
        <v>63</v>
      </c>
      <c r="DR48" s="5">
        <v>4</v>
      </c>
      <c r="DS48" s="5" t="s">
        <v>77</v>
      </c>
      <c r="DT48" s="5">
        <v>7</v>
      </c>
      <c r="DU48" s="5" t="s">
        <v>66</v>
      </c>
      <c r="DV48" s="5">
        <v>8</v>
      </c>
      <c r="DW48" s="5" t="s">
        <v>81</v>
      </c>
      <c r="DX48" s="5">
        <v>2</v>
      </c>
      <c r="DY48" s="5" t="s">
        <v>84</v>
      </c>
      <c r="DZ48" s="5">
        <v>3</v>
      </c>
      <c r="EA48" s="5" t="s">
        <v>90</v>
      </c>
      <c r="EB48" s="5">
        <v>3</v>
      </c>
      <c r="EC48" s="5" t="s">
        <v>93</v>
      </c>
      <c r="ED48" s="5" t="b">
        <v>1</v>
      </c>
      <c r="EE48" s="5" t="b">
        <v>0</v>
      </c>
      <c r="EF48" s="5" t="b">
        <v>0</v>
      </c>
      <c r="EG48" s="5" t="b">
        <v>1</v>
      </c>
      <c r="EH48" s="5">
        <v>2</v>
      </c>
      <c r="EI48" s="5">
        <v>3</v>
      </c>
      <c r="EJ48" s="5" t="s">
        <v>139</v>
      </c>
    </row>
    <row r="49" spans="1:140" x14ac:dyDescent="0.25">
      <c r="A49" s="5">
        <v>48</v>
      </c>
      <c r="B49" s="11">
        <v>45032</v>
      </c>
      <c r="C49" s="12">
        <v>0.54513888888888895</v>
      </c>
      <c r="D49" s="12" t="str">
        <f t="shared" si="1"/>
        <v>48   04/16/2023   13:05</v>
      </c>
      <c r="E49" s="5">
        <v>2</v>
      </c>
      <c r="F49" s="5" t="s">
        <v>1</v>
      </c>
      <c r="G49" s="5">
        <v>50</v>
      </c>
      <c r="H49" s="5">
        <v>2</v>
      </c>
      <c r="I49" s="5" t="s">
        <v>2</v>
      </c>
      <c r="J49" s="5">
        <v>6</v>
      </c>
      <c r="K49" s="5" t="s">
        <v>15</v>
      </c>
      <c r="L49" s="5" t="b">
        <v>1</v>
      </c>
      <c r="M49" s="5" t="b">
        <v>0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1</v>
      </c>
      <c r="T49" s="5" t="b">
        <v>0</v>
      </c>
      <c r="U49" s="5" t="b">
        <v>0</v>
      </c>
      <c r="V49" s="5" t="b">
        <v>0</v>
      </c>
      <c r="W49" s="5" t="b">
        <v>0</v>
      </c>
      <c r="X49" s="5" t="b">
        <v>0</v>
      </c>
      <c r="Y49" s="5" t="b">
        <v>0</v>
      </c>
      <c r="Z49" s="5" t="b">
        <v>1</v>
      </c>
      <c r="AA49" s="5" t="b">
        <v>0</v>
      </c>
      <c r="AB49" s="5" t="b">
        <v>0</v>
      </c>
      <c r="AC49" s="5" t="b">
        <v>0</v>
      </c>
      <c r="AD49" s="5" t="b">
        <v>0</v>
      </c>
      <c r="AE49" s="5" t="b">
        <v>0</v>
      </c>
      <c r="AF49" s="5" t="b">
        <v>0</v>
      </c>
      <c r="AG49" s="5" t="b">
        <v>0</v>
      </c>
      <c r="AH49" s="5" t="b">
        <v>0</v>
      </c>
      <c r="AI49" s="5" t="b">
        <v>0</v>
      </c>
      <c r="AJ49" s="5" t="b">
        <v>1</v>
      </c>
      <c r="AK49" s="5" t="b">
        <v>0</v>
      </c>
      <c r="AL49" s="5" t="b">
        <v>1</v>
      </c>
      <c r="AM49" s="5">
        <v>2</v>
      </c>
      <c r="AN49" s="5" t="s">
        <v>30</v>
      </c>
      <c r="AO49" s="5" t="s">
        <v>292</v>
      </c>
      <c r="AP49" s="5" t="s">
        <v>293</v>
      </c>
      <c r="AQ49" s="5">
        <v>2</v>
      </c>
      <c r="AR49" s="5" t="s">
        <v>130</v>
      </c>
      <c r="AS49" s="5">
        <v>2</v>
      </c>
      <c r="AT49" s="5" t="s">
        <v>63</v>
      </c>
      <c r="AU49" s="5">
        <v>5</v>
      </c>
      <c r="AV49" s="5" t="s">
        <v>70</v>
      </c>
      <c r="AW49" s="5">
        <v>2</v>
      </c>
      <c r="AX49" s="5" t="s">
        <v>72</v>
      </c>
      <c r="AY49" s="5">
        <v>12</v>
      </c>
      <c r="AZ49" s="5" t="s">
        <v>80</v>
      </c>
      <c r="BA49" s="5">
        <v>2</v>
      </c>
      <c r="BB49" s="5" t="s">
        <v>84</v>
      </c>
      <c r="BC49" s="5">
        <v>3</v>
      </c>
      <c r="BD49" s="5" t="s">
        <v>90</v>
      </c>
      <c r="BE49" s="5">
        <v>2</v>
      </c>
      <c r="BF49" s="5" t="s">
        <v>92</v>
      </c>
      <c r="BG49" s="5" t="b">
        <v>1</v>
      </c>
      <c r="BH49" s="5" t="b">
        <v>0</v>
      </c>
      <c r="BI49" s="5" t="b">
        <v>1</v>
      </c>
      <c r="BJ49" s="5" t="b">
        <v>1</v>
      </c>
      <c r="BK49" s="5">
        <v>3</v>
      </c>
      <c r="BL49" s="5">
        <v>2</v>
      </c>
      <c r="BM49" s="5" t="s">
        <v>95</v>
      </c>
      <c r="BN49" s="5" t="s">
        <v>294</v>
      </c>
      <c r="BO49" s="5">
        <v>2</v>
      </c>
      <c r="BP49" s="5" t="s">
        <v>101</v>
      </c>
      <c r="BQ49" s="5" t="s">
        <v>295</v>
      </c>
      <c r="BR49" s="5">
        <v>2</v>
      </c>
      <c r="BS49" s="5" t="s">
        <v>105</v>
      </c>
      <c r="BT49" s="5">
        <v>2</v>
      </c>
      <c r="BU49" s="5" t="s">
        <v>111</v>
      </c>
      <c r="BV49" s="5">
        <v>2</v>
      </c>
      <c r="BW49" s="5" t="s">
        <v>116</v>
      </c>
      <c r="BX49" s="5">
        <v>2</v>
      </c>
      <c r="BY49" s="5" t="s">
        <v>122</v>
      </c>
      <c r="BZ49" s="5" t="b">
        <v>1</v>
      </c>
      <c r="CA49" s="5" t="b">
        <v>1</v>
      </c>
      <c r="CB49" s="5" t="b">
        <v>1</v>
      </c>
      <c r="CC49" s="5" t="b">
        <v>1</v>
      </c>
      <c r="CD49" s="5" t="b">
        <v>1</v>
      </c>
      <c r="CE49" s="5">
        <v>5</v>
      </c>
      <c r="CF49" s="5">
        <v>6</v>
      </c>
      <c r="CG49" s="5">
        <v>9</v>
      </c>
      <c r="CH49" s="5" t="s">
        <v>296</v>
      </c>
      <c r="CI49" s="5" t="s">
        <v>297</v>
      </c>
      <c r="CJ49" s="5" t="b">
        <v>1</v>
      </c>
      <c r="CK49" s="5" t="b">
        <v>0</v>
      </c>
      <c r="CL49" s="5" t="b">
        <v>0</v>
      </c>
      <c r="CM49" s="5" t="b">
        <v>1</v>
      </c>
      <c r="CN49" s="5" t="b">
        <v>0</v>
      </c>
      <c r="CO49" s="5" t="b">
        <v>0</v>
      </c>
      <c r="CP49" s="5" t="b">
        <v>0</v>
      </c>
      <c r="CQ49" s="5" t="b">
        <v>0</v>
      </c>
      <c r="CR49" s="5" t="b">
        <v>0</v>
      </c>
      <c r="CS49" s="5" t="b">
        <v>0</v>
      </c>
      <c r="CT49" s="5" t="b">
        <v>0</v>
      </c>
      <c r="CU49" s="5" t="b">
        <v>0</v>
      </c>
      <c r="CV49" s="5" t="b">
        <v>0</v>
      </c>
      <c r="CW49" s="5" t="b">
        <v>1</v>
      </c>
      <c r="CX49" s="5" t="b">
        <v>0</v>
      </c>
      <c r="CY49" s="5" t="b">
        <v>0</v>
      </c>
      <c r="CZ49" s="5" t="b">
        <v>0</v>
      </c>
      <c r="DA49" s="5" t="b">
        <v>0</v>
      </c>
      <c r="DB49" s="5" t="b">
        <v>0</v>
      </c>
      <c r="DC49" s="5" t="b">
        <v>0</v>
      </c>
      <c r="DD49" s="5" t="b">
        <v>0</v>
      </c>
      <c r="DE49" s="5" t="b">
        <v>0</v>
      </c>
      <c r="DF49" s="5" t="b">
        <v>0</v>
      </c>
      <c r="DG49" s="5" t="b">
        <v>0</v>
      </c>
      <c r="DH49" s="5" t="b">
        <v>0</v>
      </c>
      <c r="DI49" s="5" t="b">
        <v>0</v>
      </c>
      <c r="DJ49" s="5" t="b">
        <v>1</v>
      </c>
      <c r="DK49" s="5" t="s">
        <v>298</v>
      </c>
      <c r="DL49" s="5">
        <v>2</v>
      </c>
      <c r="DM49" s="5" t="s">
        <v>30</v>
      </c>
      <c r="DN49" s="5">
        <v>3</v>
      </c>
      <c r="DO49" s="5" t="s">
        <v>63</v>
      </c>
      <c r="DP49" s="5">
        <v>2</v>
      </c>
      <c r="DQ49" s="5" t="s">
        <v>63</v>
      </c>
      <c r="DR49" s="5">
        <v>4</v>
      </c>
      <c r="DS49" s="5" t="s">
        <v>77</v>
      </c>
      <c r="DT49" s="5">
        <v>7</v>
      </c>
      <c r="DU49" s="5" t="s">
        <v>66</v>
      </c>
      <c r="DV49" s="5">
        <v>8</v>
      </c>
      <c r="DW49" s="5" t="s">
        <v>81</v>
      </c>
      <c r="DX49" s="5">
        <v>2</v>
      </c>
      <c r="DY49" s="5" t="s">
        <v>84</v>
      </c>
      <c r="DZ49" s="5">
        <v>3</v>
      </c>
      <c r="EA49" s="5" t="s">
        <v>90</v>
      </c>
      <c r="EB49" s="5">
        <v>3</v>
      </c>
      <c r="EC49" s="5" t="s">
        <v>93</v>
      </c>
      <c r="ED49" s="5" t="b">
        <v>1</v>
      </c>
      <c r="EE49" s="5" t="b">
        <v>0</v>
      </c>
      <c r="EF49" s="5" t="b">
        <v>0</v>
      </c>
      <c r="EG49" s="5" t="b">
        <v>1</v>
      </c>
      <c r="EH49" s="5">
        <v>2</v>
      </c>
      <c r="EI49" s="5">
        <v>3</v>
      </c>
      <c r="EJ49" s="5" t="s">
        <v>139</v>
      </c>
    </row>
    <row r="50" spans="1:140" x14ac:dyDescent="0.25">
      <c r="A50" s="5">
        <v>49</v>
      </c>
      <c r="B50" s="11">
        <v>45032</v>
      </c>
      <c r="C50" s="12">
        <v>0.54513888888888895</v>
      </c>
      <c r="D50" s="12" t="str">
        <f t="shared" si="1"/>
        <v>49   04/16/2023   13:05</v>
      </c>
      <c r="E50" s="5">
        <v>2</v>
      </c>
      <c r="F50" s="5" t="s">
        <v>1</v>
      </c>
      <c r="G50" s="5">
        <v>50</v>
      </c>
      <c r="H50" s="5">
        <v>2</v>
      </c>
      <c r="I50" s="5" t="s">
        <v>2</v>
      </c>
      <c r="J50" s="5">
        <v>6</v>
      </c>
      <c r="K50" s="5" t="s">
        <v>15</v>
      </c>
      <c r="L50" s="5" t="b">
        <v>1</v>
      </c>
      <c r="M50" s="5" t="b">
        <v>0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1</v>
      </c>
      <c r="T50" s="5" t="b">
        <v>0</v>
      </c>
      <c r="U50" s="5" t="b">
        <v>0</v>
      </c>
      <c r="V50" s="5" t="b">
        <v>0</v>
      </c>
      <c r="W50" s="5" t="b">
        <v>0</v>
      </c>
      <c r="X50" s="5" t="b">
        <v>0</v>
      </c>
      <c r="Y50" s="5" t="b">
        <v>0</v>
      </c>
      <c r="Z50" s="5" t="b">
        <v>1</v>
      </c>
      <c r="AA50" s="5" t="b">
        <v>0</v>
      </c>
      <c r="AB50" s="5" t="b">
        <v>0</v>
      </c>
      <c r="AC50" s="5" t="b">
        <v>0</v>
      </c>
      <c r="AD50" s="5" t="b">
        <v>0</v>
      </c>
      <c r="AE50" s="5" t="b">
        <v>0</v>
      </c>
      <c r="AF50" s="5" t="b">
        <v>0</v>
      </c>
      <c r="AG50" s="5" t="b">
        <v>0</v>
      </c>
      <c r="AH50" s="5" t="b">
        <v>0</v>
      </c>
      <c r="AI50" s="5" t="b">
        <v>0</v>
      </c>
      <c r="AJ50" s="5" t="b">
        <v>1</v>
      </c>
      <c r="AK50" s="5" t="b">
        <v>0</v>
      </c>
      <c r="AL50" s="5" t="b">
        <v>1</v>
      </c>
      <c r="AM50" s="5">
        <v>2</v>
      </c>
      <c r="AN50" s="5" t="s">
        <v>30</v>
      </c>
      <c r="AO50" s="5" t="s">
        <v>292</v>
      </c>
      <c r="AP50" s="5" t="s">
        <v>293</v>
      </c>
      <c r="AQ50" s="5">
        <v>2</v>
      </c>
      <c r="AR50" s="5" t="s">
        <v>130</v>
      </c>
      <c r="AS50" s="5">
        <v>2</v>
      </c>
      <c r="AT50" s="5" t="s">
        <v>63</v>
      </c>
      <c r="AU50" s="5">
        <v>5</v>
      </c>
      <c r="AV50" s="5" t="s">
        <v>70</v>
      </c>
      <c r="AW50" s="5">
        <v>2</v>
      </c>
      <c r="AX50" s="5" t="s">
        <v>72</v>
      </c>
      <c r="AY50" s="5">
        <v>12</v>
      </c>
      <c r="AZ50" s="5" t="s">
        <v>80</v>
      </c>
      <c r="BA50" s="5">
        <v>2</v>
      </c>
      <c r="BB50" s="5" t="s">
        <v>84</v>
      </c>
      <c r="BC50" s="5">
        <v>3</v>
      </c>
      <c r="BD50" s="5" t="s">
        <v>90</v>
      </c>
      <c r="BE50" s="5">
        <v>2</v>
      </c>
      <c r="BF50" s="5" t="s">
        <v>92</v>
      </c>
      <c r="BG50" s="5" t="b">
        <v>1</v>
      </c>
      <c r="BH50" s="5" t="b">
        <v>0</v>
      </c>
      <c r="BI50" s="5" t="b">
        <v>1</v>
      </c>
      <c r="BJ50" s="5" t="b">
        <v>1</v>
      </c>
      <c r="BK50" s="5">
        <v>3</v>
      </c>
      <c r="BL50" s="5">
        <v>2</v>
      </c>
      <c r="BM50" s="5" t="s">
        <v>95</v>
      </c>
      <c r="BN50" s="5" t="s">
        <v>294</v>
      </c>
      <c r="BO50" s="5">
        <v>2</v>
      </c>
      <c r="BP50" s="5" t="s">
        <v>101</v>
      </c>
      <c r="BQ50" s="5" t="s">
        <v>295</v>
      </c>
      <c r="BR50" s="5">
        <v>2</v>
      </c>
      <c r="BS50" s="5" t="s">
        <v>105</v>
      </c>
      <c r="BT50" s="5">
        <v>2</v>
      </c>
      <c r="BU50" s="5" t="s">
        <v>111</v>
      </c>
      <c r="BV50" s="5">
        <v>2</v>
      </c>
      <c r="BW50" s="5" t="s">
        <v>116</v>
      </c>
      <c r="BX50" s="5">
        <v>2</v>
      </c>
      <c r="BY50" s="5" t="s">
        <v>122</v>
      </c>
      <c r="BZ50" s="5" t="b">
        <v>1</v>
      </c>
      <c r="CA50" s="5" t="b">
        <v>1</v>
      </c>
      <c r="CB50" s="5" t="b">
        <v>1</v>
      </c>
      <c r="CC50" s="5" t="b">
        <v>1</v>
      </c>
      <c r="CD50" s="5" t="b">
        <v>1</v>
      </c>
      <c r="CE50" s="5">
        <v>5</v>
      </c>
      <c r="CF50" s="5">
        <v>6</v>
      </c>
      <c r="CG50" s="5">
        <v>9</v>
      </c>
      <c r="CH50" s="5" t="s">
        <v>296</v>
      </c>
      <c r="CI50" s="5" t="s">
        <v>297</v>
      </c>
      <c r="CJ50" s="5" t="b">
        <v>1</v>
      </c>
      <c r="CK50" s="5" t="b">
        <v>0</v>
      </c>
      <c r="CL50" s="5" t="b">
        <v>0</v>
      </c>
      <c r="CM50" s="5" t="b">
        <v>1</v>
      </c>
      <c r="CN50" s="5" t="b">
        <v>0</v>
      </c>
      <c r="CO50" s="5" t="b">
        <v>0</v>
      </c>
      <c r="CP50" s="5" t="b">
        <v>0</v>
      </c>
      <c r="CQ50" s="5" t="b">
        <v>0</v>
      </c>
      <c r="CR50" s="5" t="b">
        <v>0</v>
      </c>
      <c r="CS50" s="5" t="b">
        <v>0</v>
      </c>
      <c r="CT50" s="5" t="b">
        <v>0</v>
      </c>
      <c r="CU50" s="5" t="b">
        <v>0</v>
      </c>
      <c r="CV50" s="5" t="b">
        <v>0</v>
      </c>
      <c r="CW50" s="5" t="b">
        <v>1</v>
      </c>
      <c r="CX50" s="5" t="b">
        <v>0</v>
      </c>
      <c r="CY50" s="5" t="b">
        <v>0</v>
      </c>
      <c r="CZ50" s="5" t="b">
        <v>0</v>
      </c>
      <c r="DA50" s="5" t="b">
        <v>0</v>
      </c>
      <c r="DB50" s="5" t="b">
        <v>0</v>
      </c>
      <c r="DC50" s="5" t="b">
        <v>0</v>
      </c>
      <c r="DD50" s="5" t="b">
        <v>0</v>
      </c>
      <c r="DE50" s="5" t="b">
        <v>0</v>
      </c>
      <c r="DF50" s="5" t="b">
        <v>0</v>
      </c>
      <c r="DG50" s="5" t="b">
        <v>0</v>
      </c>
      <c r="DH50" s="5" t="b">
        <v>0</v>
      </c>
      <c r="DI50" s="5" t="b">
        <v>0</v>
      </c>
      <c r="DJ50" s="5" t="b">
        <v>1</v>
      </c>
      <c r="DK50" s="5" t="s">
        <v>298</v>
      </c>
      <c r="DL50" s="5">
        <v>2</v>
      </c>
      <c r="DM50" s="5" t="s">
        <v>30</v>
      </c>
      <c r="DN50" s="5">
        <v>3</v>
      </c>
      <c r="DO50" s="5" t="s">
        <v>63</v>
      </c>
      <c r="DP50" s="5">
        <v>2</v>
      </c>
      <c r="DQ50" s="5" t="s">
        <v>63</v>
      </c>
      <c r="DR50" s="5">
        <v>4</v>
      </c>
      <c r="DS50" s="5" t="s">
        <v>77</v>
      </c>
      <c r="DT50" s="5">
        <v>7</v>
      </c>
      <c r="DU50" s="5" t="s">
        <v>66</v>
      </c>
      <c r="DV50" s="5">
        <v>8</v>
      </c>
      <c r="DW50" s="5" t="s">
        <v>81</v>
      </c>
      <c r="DX50" s="5">
        <v>2</v>
      </c>
      <c r="DY50" s="5" t="s">
        <v>84</v>
      </c>
      <c r="DZ50" s="5">
        <v>3</v>
      </c>
      <c r="EA50" s="5" t="s">
        <v>90</v>
      </c>
      <c r="EB50" s="5">
        <v>3</v>
      </c>
      <c r="EC50" s="5" t="s">
        <v>93</v>
      </c>
      <c r="ED50" s="5" t="b">
        <v>1</v>
      </c>
      <c r="EE50" s="5" t="b">
        <v>0</v>
      </c>
      <c r="EF50" s="5" t="b">
        <v>0</v>
      </c>
      <c r="EG50" s="5" t="b">
        <v>1</v>
      </c>
      <c r="EH50" s="5">
        <v>2</v>
      </c>
      <c r="EI50" s="5">
        <v>3</v>
      </c>
      <c r="EJ50" s="5" t="s">
        <v>139</v>
      </c>
    </row>
    <row r="51" spans="1:140" x14ac:dyDescent="0.25">
      <c r="A51" s="5">
        <v>50</v>
      </c>
      <c r="B51" s="11">
        <v>45032</v>
      </c>
      <c r="C51" s="12">
        <v>0.56111111111111112</v>
      </c>
      <c r="D51" s="12" t="str">
        <f>CONCATENATE(A51,"   ",TEXT(B51,"mm/dd/yyyy"),"   ",TEXT(C51,"hh:mm"))</f>
        <v>50   04/16/2023   13:28</v>
      </c>
      <c r="E51" s="5">
        <v>0</v>
      </c>
      <c r="F51" s="5">
        <v>0</v>
      </c>
      <c r="G51" s="5">
        <v>0</v>
      </c>
      <c r="H51" s="5">
        <v>1</v>
      </c>
      <c r="I51" s="5">
        <v>0</v>
      </c>
      <c r="J51" s="5">
        <v>1</v>
      </c>
      <c r="K51" s="5">
        <v>0</v>
      </c>
      <c r="L51" s="5" t="b">
        <v>0</v>
      </c>
      <c r="M51" s="5" t="b">
        <v>0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 t="b">
        <v>0</v>
      </c>
      <c r="X51" s="5" t="b">
        <v>0</v>
      </c>
      <c r="Y51" s="5" t="b">
        <v>0</v>
      </c>
      <c r="Z51" s="5" t="b">
        <v>0</v>
      </c>
      <c r="AA51" s="5" t="b">
        <v>0</v>
      </c>
      <c r="AB51" s="5" t="b">
        <v>0</v>
      </c>
      <c r="AC51" s="5" t="b">
        <v>0</v>
      </c>
      <c r="AD51" s="5" t="b">
        <v>0</v>
      </c>
      <c r="AE51" s="5" t="b">
        <v>0</v>
      </c>
      <c r="AF51" s="5" t="b">
        <v>0</v>
      </c>
      <c r="AG51" s="5" t="b">
        <v>0</v>
      </c>
      <c r="AH51" s="5" t="b">
        <v>0</v>
      </c>
      <c r="AI51" s="5" t="b">
        <v>0</v>
      </c>
      <c r="AJ51" s="5" t="b">
        <v>0</v>
      </c>
      <c r="AK51" s="5" t="b">
        <v>0</v>
      </c>
      <c r="AL51" s="5" t="b">
        <v>0</v>
      </c>
      <c r="AM51" s="5">
        <v>1</v>
      </c>
      <c r="AN51" s="5">
        <v>0</v>
      </c>
      <c r="AO51" s="5">
        <v>0</v>
      </c>
      <c r="AP51" s="5">
        <v>0</v>
      </c>
      <c r="AQ51" s="5">
        <v>1</v>
      </c>
      <c r="AR51" s="5">
        <v>0</v>
      </c>
      <c r="AS51" s="5">
        <v>1</v>
      </c>
      <c r="AT51" s="5">
        <v>0</v>
      </c>
      <c r="AU51" s="5">
        <v>1</v>
      </c>
      <c r="AV51" s="5">
        <v>0</v>
      </c>
      <c r="AW51" s="5">
        <v>1</v>
      </c>
      <c r="AX51" s="5">
        <v>0</v>
      </c>
      <c r="AY51" s="5">
        <v>0</v>
      </c>
      <c r="AZ51" s="5" t="s">
        <v>300</v>
      </c>
      <c r="BA51" s="5">
        <v>1</v>
      </c>
      <c r="BB51" s="5">
        <v>0</v>
      </c>
      <c r="BC51" s="5">
        <v>1</v>
      </c>
      <c r="BD51" s="5">
        <v>0</v>
      </c>
      <c r="BE51" s="5">
        <v>1</v>
      </c>
      <c r="BF51" s="5">
        <v>0</v>
      </c>
      <c r="BG51" s="5" t="b">
        <v>0</v>
      </c>
      <c r="BH51" s="5" t="b">
        <v>0</v>
      </c>
      <c r="BI51" s="5" t="b">
        <v>0</v>
      </c>
      <c r="BJ51" s="5" t="b">
        <v>0</v>
      </c>
      <c r="BK51" s="5">
        <v>0</v>
      </c>
      <c r="BL51" s="5">
        <v>1</v>
      </c>
      <c r="BM51" s="5">
        <v>0</v>
      </c>
      <c r="BN51" s="5">
        <v>0</v>
      </c>
      <c r="BO51" s="5">
        <v>1</v>
      </c>
      <c r="BP51" s="5">
        <v>0</v>
      </c>
      <c r="BQ51" s="5">
        <v>0</v>
      </c>
      <c r="BR51" s="5">
        <v>1</v>
      </c>
      <c r="BS51" s="5">
        <v>0</v>
      </c>
      <c r="BT51" s="5">
        <v>1</v>
      </c>
      <c r="BU51" s="5">
        <v>0</v>
      </c>
      <c r="BV51" s="5">
        <v>1</v>
      </c>
      <c r="BW51" s="5">
        <v>0</v>
      </c>
      <c r="BX51" s="5">
        <v>1</v>
      </c>
      <c r="BY51" s="5">
        <v>0</v>
      </c>
      <c r="BZ51" s="5" t="b">
        <v>0</v>
      </c>
      <c r="CA51" s="5" t="b">
        <v>0</v>
      </c>
      <c r="CB51" s="5" t="b">
        <v>0</v>
      </c>
      <c r="CC51" s="5" t="b">
        <v>0</v>
      </c>
      <c r="CD51" s="5" t="b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 t="b">
        <v>0</v>
      </c>
      <c r="CK51" s="5" t="b">
        <v>0</v>
      </c>
      <c r="CL51" s="5" t="b">
        <v>0</v>
      </c>
      <c r="CM51" s="5" t="b">
        <v>0</v>
      </c>
      <c r="CN51" s="5" t="b">
        <v>0</v>
      </c>
      <c r="CO51" s="5" t="b">
        <v>0</v>
      </c>
      <c r="CP51" s="5" t="b">
        <v>0</v>
      </c>
      <c r="CQ51" s="5" t="b">
        <v>0</v>
      </c>
      <c r="CR51" s="5" t="b">
        <v>0</v>
      </c>
      <c r="CS51" s="5" t="b">
        <v>0</v>
      </c>
      <c r="CT51" s="5" t="b">
        <v>0</v>
      </c>
      <c r="CU51" s="5" t="b">
        <v>0</v>
      </c>
      <c r="CV51" s="5" t="b">
        <v>0</v>
      </c>
      <c r="CW51" s="5" t="b">
        <v>0</v>
      </c>
      <c r="CX51" s="5" t="b">
        <v>0</v>
      </c>
      <c r="CY51" s="5" t="b">
        <v>0</v>
      </c>
      <c r="CZ51" s="5" t="b">
        <v>0</v>
      </c>
      <c r="DA51" s="5" t="b">
        <v>0</v>
      </c>
      <c r="DB51" s="5" t="b">
        <v>0</v>
      </c>
      <c r="DC51" s="5" t="b">
        <v>0</v>
      </c>
      <c r="DD51" s="5" t="b">
        <v>0</v>
      </c>
      <c r="DE51" s="5" t="b">
        <v>0</v>
      </c>
      <c r="DF51" s="5" t="b">
        <v>0</v>
      </c>
      <c r="DG51" s="5" t="b">
        <v>0</v>
      </c>
      <c r="DH51" s="5" t="b">
        <v>0</v>
      </c>
      <c r="DI51" s="5" t="b">
        <v>0</v>
      </c>
      <c r="DJ51" s="5" t="b">
        <v>0</v>
      </c>
      <c r="DK51" s="5">
        <v>0</v>
      </c>
      <c r="DL51" s="5">
        <v>1</v>
      </c>
      <c r="DM51" s="5">
        <v>0</v>
      </c>
      <c r="DN51" s="5">
        <v>1</v>
      </c>
      <c r="DO51" s="5">
        <v>0</v>
      </c>
      <c r="DP51" s="5">
        <v>1</v>
      </c>
      <c r="DQ51" s="5">
        <v>0</v>
      </c>
      <c r="DR51" s="5">
        <v>1</v>
      </c>
      <c r="DS51" s="5">
        <v>0</v>
      </c>
      <c r="DT51" s="5">
        <v>1</v>
      </c>
      <c r="DU51" s="5">
        <v>0</v>
      </c>
      <c r="DV51" s="5">
        <v>0</v>
      </c>
      <c r="DW51" s="5" t="s">
        <v>300</v>
      </c>
      <c r="DX51" s="5">
        <v>1</v>
      </c>
      <c r="DY51" s="5">
        <v>0</v>
      </c>
      <c r="DZ51" s="5">
        <v>1</v>
      </c>
      <c r="EA51" s="5">
        <v>0</v>
      </c>
      <c r="EB51" s="5">
        <v>1</v>
      </c>
      <c r="EC51" s="5">
        <v>0</v>
      </c>
      <c r="ED51" s="5" t="b">
        <v>0</v>
      </c>
      <c r="EE51" s="5" t="b">
        <v>0</v>
      </c>
      <c r="EF51" s="5" t="b">
        <v>0</v>
      </c>
      <c r="EG51" s="5" t="b">
        <v>0</v>
      </c>
      <c r="EH51" s="5">
        <v>0</v>
      </c>
      <c r="EI51" s="5">
        <v>1</v>
      </c>
      <c r="EJ51" s="5">
        <v>0</v>
      </c>
    </row>
    <row r="52" spans="1:140" x14ac:dyDescent="0.25">
      <c r="A52" s="5">
        <v>51</v>
      </c>
      <c r="B52" s="11">
        <v>45032</v>
      </c>
      <c r="C52" s="12">
        <v>0.58194444444444449</v>
      </c>
      <c r="D52" s="12" t="str">
        <f>CONCATENATE(A52,"   ",TEXT(B52,"mm/dd/yyyy"),"   ",TEXT(C52,"hh:mm"))</f>
        <v>51   04/16/2023   13:58</v>
      </c>
      <c r="E52" s="5">
        <v>2</v>
      </c>
      <c r="F52" s="5" t="s">
        <v>1</v>
      </c>
      <c r="G52" s="5">
        <v>50</v>
      </c>
      <c r="H52" s="5">
        <v>2</v>
      </c>
      <c r="I52" s="5" t="s">
        <v>2</v>
      </c>
      <c r="J52" s="5">
        <v>6</v>
      </c>
      <c r="K52" s="5" t="s">
        <v>15</v>
      </c>
      <c r="L52" s="5" t="b">
        <v>1</v>
      </c>
      <c r="M52" s="5" t="b">
        <v>0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1</v>
      </c>
      <c r="T52" s="5" t="b">
        <v>0</v>
      </c>
      <c r="U52" s="5" t="b">
        <v>0</v>
      </c>
      <c r="V52" s="5" t="b">
        <v>0</v>
      </c>
      <c r="W52" s="5" t="b">
        <v>0</v>
      </c>
      <c r="X52" s="5" t="b">
        <v>0</v>
      </c>
      <c r="Y52" s="5" t="b">
        <v>0</v>
      </c>
      <c r="Z52" s="5" t="b">
        <v>1</v>
      </c>
      <c r="AA52" s="5" t="b">
        <v>0</v>
      </c>
      <c r="AB52" s="5" t="b">
        <v>0</v>
      </c>
      <c r="AC52" s="5" t="b">
        <v>0</v>
      </c>
      <c r="AD52" s="5" t="b">
        <v>0</v>
      </c>
      <c r="AE52" s="5" t="b">
        <v>0</v>
      </c>
      <c r="AF52" s="5" t="b">
        <v>0</v>
      </c>
      <c r="AG52" s="5" t="b">
        <v>0</v>
      </c>
      <c r="AH52" s="5" t="b">
        <v>0</v>
      </c>
      <c r="AI52" s="5" t="b">
        <v>0</v>
      </c>
      <c r="AJ52" s="5" t="b">
        <v>1</v>
      </c>
      <c r="AK52" s="5" t="b">
        <v>0</v>
      </c>
      <c r="AL52" s="5" t="b">
        <v>1</v>
      </c>
      <c r="AM52" s="5">
        <v>2</v>
      </c>
      <c r="AN52" s="5" t="s">
        <v>30</v>
      </c>
      <c r="AO52" s="5" t="s">
        <v>292</v>
      </c>
      <c r="AP52" s="5" t="s">
        <v>293</v>
      </c>
      <c r="AQ52" s="5">
        <v>2</v>
      </c>
      <c r="AR52" s="5" t="s">
        <v>130</v>
      </c>
      <c r="AS52" s="5">
        <v>2</v>
      </c>
      <c r="AT52" s="5" t="s">
        <v>63</v>
      </c>
      <c r="AU52" s="5">
        <v>5</v>
      </c>
      <c r="AV52" s="5" t="s">
        <v>70</v>
      </c>
      <c r="AW52" s="5">
        <v>2</v>
      </c>
      <c r="AX52" s="5" t="s">
        <v>72</v>
      </c>
      <c r="AY52" s="5">
        <v>12</v>
      </c>
      <c r="AZ52" s="5" t="s">
        <v>80</v>
      </c>
      <c r="BA52" s="5">
        <v>2</v>
      </c>
      <c r="BB52" s="5" t="s">
        <v>84</v>
      </c>
      <c r="BC52" s="5">
        <v>3</v>
      </c>
      <c r="BD52" s="5" t="s">
        <v>90</v>
      </c>
      <c r="BE52" s="5">
        <v>2</v>
      </c>
      <c r="BF52" s="5" t="s">
        <v>92</v>
      </c>
      <c r="BG52" s="5" t="b">
        <v>1</v>
      </c>
      <c r="BH52" s="5" t="b">
        <v>0</v>
      </c>
      <c r="BI52" s="5" t="b">
        <v>1</v>
      </c>
      <c r="BJ52" s="5" t="b">
        <v>1</v>
      </c>
      <c r="BK52" s="5">
        <v>3</v>
      </c>
      <c r="BL52" s="5">
        <v>2</v>
      </c>
      <c r="BM52" s="5" t="s">
        <v>95</v>
      </c>
      <c r="BN52" s="5" t="s">
        <v>294</v>
      </c>
      <c r="BO52" s="5">
        <v>2</v>
      </c>
      <c r="BP52" s="5" t="s">
        <v>101</v>
      </c>
      <c r="BQ52" s="5" t="s">
        <v>295</v>
      </c>
      <c r="BR52" s="5">
        <v>2</v>
      </c>
      <c r="BS52" s="5" t="s">
        <v>105</v>
      </c>
      <c r="BT52" s="5">
        <v>2</v>
      </c>
      <c r="BU52" s="5" t="s">
        <v>111</v>
      </c>
      <c r="BV52" s="5">
        <v>2</v>
      </c>
      <c r="BW52" s="5" t="s">
        <v>116</v>
      </c>
      <c r="BX52" s="5">
        <v>2</v>
      </c>
      <c r="BY52" s="5" t="s">
        <v>122</v>
      </c>
      <c r="BZ52" s="5" t="b">
        <v>1</v>
      </c>
      <c r="CA52" s="5" t="b">
        <v>1</v>
      </c>
      <c r="CB52" s="5" t="b">
        <v>1</v>
      </c>
      <c r="CC52" s="5" t="b">
        <v>1</v>
      </c>
      <c r="CD52" s="5" t="b">
        <v>1</v>
      </c>
      <c r="CE52" s="5">
        <v>5</v>
      </c>
      <c r="CF52" s="5">
        <v>6</v>
      </c>
      <c r="CG52" s="5">
        <v>9</v>
      </c>
      <c r="CH52" s="5" t="s">
        <v>296</v>
      </c>
      <c r="CI52" s="5" t="s">
        <v>297</v>
      </c>
      <c r="CJ52" s="5" t="b">
        <v>1</v>
      </c>
      <c r="CK52" s="5" t="b">
        <v>0</v>
      </c>
      <c r="CL52" s="5" t="b">
        <v>0</v>
      </c>
      <c r="CM52" s="5" t="b">
        <v>1</v>
      </c>
      <c r="CN52" s="5" t="b">
        <v>0</v>
      </c>
      <c r="CO52" s="5" t="b">
        <v>0</v>
      </c>
      <c r="CP52" s="5" t="b">
        <v>0</v>
      </c>
      <c r="CQ52" s="5" t="b">
        <v>0</v>
      </c>
      <c r="CR52" s="5" t="b">
        <v>0</v>
      </c>
      <c r="CS52" s="5" t="b">
        <v>0</v>
      </c>
      <c r="CT52" s="5" t="b">
        <v>0</v>
      </c>
      <c r="CU52" s="5" t="b">
        <v>0</v>
      </c>
      <c r="CV52" s="5" t="b">
        <v>0</v>
      </c>
      <c r="CW52" s="5" t="b">
        <v>1</v>
      </c>
      <c r="CX52" s="5" t="b">
        <v>0</v>
      </c>
      <c r="CY52" s="5" t="b">
        <v>0</v>
      </c>
      <c r="CZ52" s="5" t="b">
        <v>0</v>
      </c>
      <c r="DA52" s="5" t="b">
        <v>0</v>
      </c>
      <c r="DB52" s="5" t="b">
        <v>0</v>
      </c>
      <c r="DC52" s="5" t="b">
        <v>0</v>
      </c>
      <c r="DD52" s="5" t="b">
        <v>0</v>
      </c>
      <c r="DE52" s="5" t="b">
        <v>0</v>
      </c>
      <c r="DF52" s="5" t="b">
        <v>0</v>
      </c>
      <c r="DG52" s="5" t="b">
        <v>0</v>
      </c>
      <c r="DH52" s="5" t="b">
        <v>0</v>
      </c>
      <c r="DI52" s="5" t="b">
        <v>0</v>
      </c>
      <c r="DJ52" s="5" t="b">
        <v>1</v>
      </c>
      <c r="DK52" s="5" t="s">
        <v>298</v>
      </c>
      <c r="DL52" s="5">
        <v>2</v>
      </c>
      <c r="DM52" s="5" t="s">
        <v>30</v>
      </c>
      <c r="DN52" s="5">
        <v>3</v>
      </c>
      <c r="DO52" s="5" t="s">
        <v>63</v>
      </c>
      <c r="DP52" s="5">
        <v>2</v>
      </c>
      <c r="DQ52" s="5" t="s">
        <v>63</v>
      </c>
      <c r="DR52" s="5">
        <v>4</v>
      </c>
      <c r="DS52" s="5" t="s">
        <v>77</v>
      </c>
      <c r="DT52" s="5">
        <v>7</v>
      </c>
      <c r="DU52" s="5" t="s">
        <v>66</v>
      </c>
      <c r="DV52" s="5">
        <v>8</v>
      </c>
      <c r="DW52" s="5" t="s">
        <v>81</v>
      </c>
      <c r="DX52" s="5">
        <v>2</v>
      </c>
      <c r="DY52" s="5" t="s">
        <v>84</v>
      </c>
      <c r="DZ52" s="5">
        <v>3</v>
      </c>
      <c r="EA52" s="5" t="s">
        <v>90</v>
      </c>
      <c r="EB52" s="5">
        <v>3</v>
      </c>
      <c r="EC52" s="5" t="s">
        <v>93</v>
      </c>
      <c r="ED52" s="5" t="b">
        <v>1</v>
      </c>
      <c r="EE52" s="5" t="b">
        <v>0</v>
      </c>
      <c r="EF52" s="5" t="b">
        <v>0</v>
      </c>
      <c r="EG52" s="5" t="b">
        <v>1</v>
      </c>
      <c r="EH52" s="5">
        <v>2</v>
      </c>
      <c r="EI52" s="5">
        <v>3</v>
      </c>
      <c r="EJ52" s="5" t="s">
        <v>139</v>
      </c>
    </row>
    <row r="53" spans="1:140" x14ac:dyDescent="0.25">
      <c r="A53" s="5">
        <v>52</v>
      </c>
      <c r="B53" s="11">
        <v>45032</v>
      </c>
      <c r="C53" s="12">
        <v>0.62708333333333333</v>
      </c>
      <c r="D53" s="12" t="str">
        <f>CONCATENATE(A53,"   ",TEXT(B53,"mm/dd/yyyy"),"   ",TEXT(C53,"hh:mm"))</f>
        <v>52   04/16/2023   15:03</v>
      </c>
      <c r="E53" s="5">
        <v>2</v>
      </c>
      <c r="F53" s="5" t="s">
        <v>1</v>
      </c>
      <c r="G53" s="5">
        <v>50</v>
      </c>
      <c r="H53" s="5">
        <v>2</v>
      </c>
      <c r="I53" s="5" t="s">
        <v>2</v>
      </c>
      <c r="J53" s="5">
        <v>6</v>
      </c>
      <c r="K53" s="5" t="s">
        <v>15</v>
      </c>
      <c r="L53" s="5" t="b">
        <v>1</v>
      </c>
      <c r="M53" s="5" t="b">
        <v>0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1</v>
      </c>
      <c r="T53" s="5" t="b">
        <v>0</v>
      </c>
      <c r="U53" s="5" t="b">
        <v>0</v>
      </c>
      <c r="V53" s="5" t="b">
        <v>0</v>
      </c>
      <c r="W53" s="5" t="b">
        <v>0</v>
      </c>
      <c r="X53" s="5" t="b">
        <v>0</v>
      </c>
      <c r="Y53" s="5" t="b">
        <v>0</v>
      </c>
      <c r="Z53" s="5" t="b">
        <v>1</v>
      </c>
      <c r="AA53" s="5" t="b">
        <v>0</v>
      </c>
      <c r="AB53" s="5" t="b">
        <v>0</v>
      </c>
      <c r="AC53" s="5" t="b">
        <v>0</v>
      </c>
      <c r="AD53" s="5" t="b">
        <v>0</v>
      </c>
      <c r="AE53" s="5" t="b">
        <v>0</v>
      </c>
      <c r="AF53" s="5" t="b">
        <v>0</v>
      </c>
      <c r="AG53" s="5" t="b">
        <v>0</v>
      </c>
      <c r="AH53" s="5" t="b">
        <v>0</v>
      </c>
      <c r="AI53" s="5" t="b">
        <v>0</v>
      </c>
      <c r="AJ53" s="5" t="b">
        <v>1</v>
      </c>
      <c r="AK53" s="5" t="b">
        <v>0</v>
      </c>
      <c r="AL53" s="5" t="b">
        <v>1</v>
      </c>
      <c r="AM53" s="5">
        <v>2</v>
      </c>
      <c r="AN53" s="5" t="s">
        <v>30</v>
      </c>
      <c r="AO53" s="5" t="s">
        <v>292</v>
      </c>
      <c r="AP53" s="5" t="s">
        <v>293</v>
      </c>
      <c r="AQ53" s="5">
        <v>2</v>
      </c>
      <c r="AR53" s="5" t="s">
        <v>130</v>
      </c>
      <c r="AS53" s="5">
        <v>2</v>
      </c>
      <c r="AT53" s="5" t="s">
        <v>63</v>
      </c>
      <c r="AU53" s="5">
        <v>5</v>
      </c>
      <c r="AV53" s="5" t="s">
        <v>70</v>
      </c>
      <c r="AW53" s="5">
        <v>2</v>
      </c>
      <c r="AX53" s="5" t="s">
        <v>72</v>
      </c>
      <c r="AY53" s="5">
        <v>12</v>
      </c>
      <c r="AZ53" s="5" t="s">
        <v>80</v>
      </c>
      <c r="BA53" s="5">
        <v>2</v>
      </c>
      <c r="BB53" s="5" t="s">
        <v>84</v>
      </c>
      <c r="BC53" s="5">
        <v>3</v>
      </c>
      <c r="BD53" s="5" t="s">
        <v>90</v>
      </c>
      <c r="BE53" s="5">
        <v>2</v>
      </c>
      <c r="BF53" s="5" t="s">
        <v>92</v>
      </c>
      <c r="BG53" s="5" t="b">
        <v>1</v>
      </c>
      <c r="BH53" s="5" t="b">
        <v>0</v>
      </c>
      <c r="BI53" s="5" t="b">
        <v>1</v>
      </c>
      <c r="BJ53" s="5" t="b">
        <v>1</v>
      </c>
      <c r="BK53" s="5">
        <v>3</v>
      </c>
      <c r="BL53" s="5">
        <v>2</v>
      </c>
      <c r="BM53" s="5" t="s">
        <v>95</v>
      </c>
      <c r="BN53" s="5" t="s">
        <v>294</v>
      </c>
      <c r="BO53" s="5">
        <v>2</v>
      </c>
      <c r="BP53" s="5" t="s">
        <v>101</v>
      </c>
      <c r="BQ53" s="5" t="s">
        <v>295</v>
      </c>
      <c r="BR53" s="5">
        <v>2</v>
      </c>
      <c r="BS53" s="5" t="s">
        <v>105</v>
      </c>
      <c r="BT53" s="5">
        <v>2</v>
      </c>
      <c r="BU53" s="5" t="s">
        <v>111</v>
      </c>
      <c r="BV53" s="5">
        <v>2</v>
      </c>
      <c r="BW53" s="5" t="s">
        <v>116</v>
      </c>
      <c r="BX53" s="5">
        <v>2</v>
      </c>
      <c r="BY53" s="5" t="s">
        <v>122</v>
      </c>
      <c r="BZ53" s="5" t="b">
        <v>1</v>
      </c>
      <c r="CA53" s="5" t="b">
        <v>1</v>
      </c>
      <c r="CB53" s="5" t="b">
        <v>1</v>
      </c>
      <c r="CC53" s="5" t="b">
        <v>1</v>
      </c>
      <c r="CD53" s="5" t="b">
        <v>1</v>
      </c>
      <c r="CE53" s="5">
        <v>5</v>
      </c>
      <c r="CF53" s="5">
        <v>6</v>
      </c>
      <c r="CG53" s="5">
        <v>9</v>
      </c>
      <c r="CH53" s="5" t="s">
        <v>296</v>
      </c>
      <c r="CI53" s="5" t="s">
        <v>297</v>
      </c>
      <c r="CJ53" s="5" t="b">
        <v>1</v>
      </c>
      <c r="CK53" s="5" t="b">
        <v>0</v>
      </c>
      <c r="CL53" s="5" t="b">
        <v>0</v>
      </c>
      <c r="CM53" s="5" t="b">
        <v>1</v>
      </c>
      <c r="CN53" s="5" t="b">
        <v>0</v>
      </c>
      <c r="CO53" s="5" t="b">
        <v>0</v>
      </c>
      <c r="CP53" s="5" t="b">
        <v>0</v>
      </c>
      <c r="CQ53" s="5" t="b">
        <v>0</v>
      </c>
      <c r="CR53" s="5" t="b">
        <v>0</v>
      </c>
      <c r="CS53" s="5" t="b">
        <v>0</v>
      </c>
      <c r="CT53" s="5" t="b">
        <v>0</v>
      </c>
      <c r="CU53" s="5" t="b">
        <v>0</v>
      </c>
      <c r="CV53" s="5" t="b">
        <v>0</v>
      </c>
      <c r="CW53" s="5" t="b">
        <v>1</v>
      </c>
      <c r="CX53" s="5" t="b">
        <v>0</v>
      </c>
      <c r="CY53" s="5" t="b">
        <v>0</v>
      </c>
      <c r="CZ53" s="5" t="b">
        <v>0</v>
      </c>
      <c r="DA53" s="5" t="b">
        <v>0</v>
      </c>
      <c r="DB53" s="5" t="b">
        <v>0</v>
      </c>
      <c r="DC53" s="5" t="b">
        <v>0</v>
      </c>
      <c r="DD53" s="5" t="b">
        <v>0</v>
      </c>
      <c r="DE53" s="5" t="b">
        <v>0</v>
      </c>
      <c r="DF53" s="5" t="b">
        <v>0</v>
      </c>
      <c r="DG53" s="5" t="b">
        <v>0</v>
      </c>
      <c r="DH53" s="5" t="b">
        <v>0</v>
      </c>
      <c r="DI53" s="5" t="b">
        <v>0</v>
      </c>
      <c r="DJ53" s="5" t="b">
        <v>1</v>
      </c>
      <c r="DK53" s="5" t="s">
        <v>298</v>
      </c>
      <c r="DL53" s="5">
        <v>2</v>
      </c>
      <c r="DM53" s="5" t="s">
        <v>30</v>
      </c>
      <c r="DN53" s="5">
        <v>3</v>
      </c>
      <c r="DO53" s="5" t="s">
        <v>63</v>
      </c>
      <c r="DP53" s="5">
        <v>2</v>
      </c>
      <c r="DQ53" s="5" t="s">
        <v>63</v>
      </c>
      <c r="DR53" s="5">
        <v>4</v>
      </c>
      <c r="DS53" s="5" t="s">
        <v>77</v>
      </c>
      <c r="DT53" s="5">
        <v>7</v>
      </c>
      <c r="DU53" s="5" t="s">
        <v>66</v>
      </c>
      <c r="DV53" s="5">
        <v>8</v>
      </c>
      <c r="DW53" s="5" t="s">
        <v>81</v>
      </c>
      <c r="DX53" s="5">
        <v>2</v>
      </c>
      <c r="DY53" s="5" t="s">
        <v>84</v>
      </c>
      <c r="DZ53" s="5">
        <v>3</v>
      </c>
      <c r="EA53" s="5" t="s">
        <v>90</v>
      </c>
      <c r="EB53" s="5">
        <v>3</v>
      </c>
      <c r="EC53" s="5" t="s">
        <v>93</v>
      </c>
      <c r="ED53" s="5" t="b">
        <v>1</v>
      </c>
      <c r="EE53" s="5" t="b">
        <v>0</v>
      </c>
      <c r="EF53" s="5" t="b">
        <v>0</v>
      </c>
      <c r="EG53" s="5" t="b">
        <v>1</v>
      </c>
      <c r="EH53" s="5">
        <v>2</v>
      </c>
      <c r="EI53" s="5">
        <v>3</v>
      </c>
      <c r="EJ53" s="5" t="s">
        <v>139</v>
      </c>
    </row>
  </sheetData>
  <protectedRanges>
    <protectedRange algorithmName="SHA-512" hashValue="S66WU2iqSW60hQPWl/yX/dXYrrLGZHs8swCcrveV7IhGAabPZOAjRVsPAWZqzRQ5gTgoKgUBkzTtXqBmuT/pmg==" saltValue="RUjcUZk1KQRhNf2pSaa0pg==" spinCount="100000" sqref="AV5 I5 F5:G5 K5:AL5 AN5:AP5 AR5 AT5 AX5:AZ5 BB5 BD5 BF5:BK5 BM5:BN5 BP5:BQ5 BS5 BU5 BW5 BY5:DK5 DM5 DO5 DQ5 DS5 DU5:DW5 DY5 EA5 EC5:EH5 EJ5" name="Nurse_6" securityDescriptor="O:WDG:WDD:(A;;CC;;;WD)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3E23-7470-4E2D-9425-58DB0E21EE7F}">
  <sheetPr codeName="Sheet2"/>
  <dimension ref="A1:M298"/>
  <sheetViews>
    <sheetView zoomScaleNormal="100" workbookViewId="0">
      <selection activeCell="D176" sqref="D176"/>
    </sheetView>
  </sheetViews>
  <sheetFormatPr defaultRowHeight="15" x14ac:dyDescent="0.25"/>
  <cols>
    <col min="1" max="1" width="59.140625" bestFit="1" customWidth="1"/>
  </cols>
  <sheetData>
    <row r="1" spans="1:12" x14ac:dyDescent="0.25">
      <c r="A1" s="2" t="s">
        <v>26</v>
      </c>
    </row>
    <row r="2" spans="1:12" x14ac:dyDescent="0.25">
      <c r="A2" s="2"/>
    </row>
    <row r="3" spans="1:12" x14ac:dyDescent="0.25">
      <c r="A3" t="s">
        <v>0</v>
      </c>
    </row>
    <row r="4" spans="1:12" x14ac:dyDescent="0.25">
      <c r="A4" t="s">
        <v>1</v>
      </c>
      <c r="L4" t="str" cm="1">
        <f t="array" ref="L4:L5">INDEX(Options!A3:A4,Report!P1)</f>
        <v>Male</v>
      </c>
    </row>
    <row r="5" spans="1:12" x14ac:dyDescent="0.25">
      <c r="L5" t="str">
        <v>Female</v>
      </c>
    </row>
    <row r="6" spans="1:12" x14ac:dyDescent="0.25">
      <c r="A6" s="2" t="s">
        <v>135</v>
      </c>
    </row>
    <row r="7" spans="1:12" x14ac:dyDescent="0.25">
      <c r="A7" s="2"/>
    </row>
    <row r="8" spans="1:12" x14ac:dyDescent="0.25">
      <c r="A8">
        <v>1</v>
      </c>
    </row>
    <row r="9" spans="1:12" x14ac:dyDescent="0.25">
      <c r="A9">
        <v>2</v>
      </c>
    </row>
    <row r="10" spans="1:12" x14ac:dyDescent="0.25">
      <c r="A10">
        <v>3</v>
      </c>
      <c r="L10">
        <f>IFERROR(K10,"error result")</f>
        <v>0</v>
      </c>
    </row>
    <row r="11" spans="1:12" x14ac:dyDescent="0.25">
      <c r="A11">
        <v>4</v>
      </c>
    </row>
    <row r="12" spans="1:12" x14ac:dyDescent="0.25">
      <c r="A12">
        <v>5</v>
      </c>
    </row>
    <row r="13" spans="1:12" x14ac:dyDescent="0.25">
      <c r="A13">
        <v>6</v>
      </c>
    </row>
    <row r="14" spans="1:12" x14ac:dyDescent="0.25">
      <c r="A14">
        <v>7</v>
      </c>
      <c r="L14">
        <f>IFERROR(INDEX(Options!A121:A129,Report!P4),"error result")</f>
        <v>0</v>
      </c>
    </row>
    <row r="15" spans="1:12" x14ac:dyDescent="0.25">
      <c r="A15">
        <v>8</v>
      </c>
    </row>
    <row r="16" spans="1:12" x14ac:dyDescent="0.25">
      <c r="A16">
        <v>9</v>
      </c>
    </row>
    <row r="17" spans="1:12" x14ac:dyDescent="0.25">
      <c r="A17">
        <v>10</v>
      </c>
      <c r="F17" t="s">
        <v>136</v>
      </c>
    </row>
    <row r="18" spans="1:12" x14ac:dyDescent="0.25">
      <c r="A18">
        <v>11</v>
      </c>
      <c r="L18" t="str">
        <f>IFERROR(INDEX(Options!A133:A148,Report!P6),"error result")</f>
        <v>Christian - Evangelical Protestant</v>
      </c>
    </row>
    <row r="19" spans="1:12" x14ac:dyDescent="0.25">
      <c r="A19">
        <v>12</v>
      </c>
    </row>
    <row r="20" spans="1:12" x14ac:dyDescent="0.25">
      <c r="A20">
        <v>13</v>
      </c>
      <c r="L20">
        <f>K20</f>
        <v>0</v>
      </c>
    </row>
    <row r="21" spans="1:12" x14ac:dyDescent="0.25">
      <c r="A21">
        <v>14</v>
      </c>
      <c r="L21">
        <f t="shared" ref="L21:L46" si="0">K21</f>
        <v>0</v>
      </c>
    </row>
    <row r="22" spans="1:12" x14ac:dyDescent="0.25">
      <c r="A22">
        <v>15</v>
      </c>
      <c r="L22">
        <f t="shared" si="0"/>
        <v>0</v>
      </c>
    </row>
    <row r="23" spans="1:12" x14ac:dyDescent="0.25">
      <c r="A23">
        <v>16</v>
      </c>
      <c r="L23">
        <f t="shared" si="0"/>
        <v>0</v>
      </c>
    </row>
    <row r="24" spans="1:12" x14ac:dyDescent="0.25">
      <c r="A24">
        <v>17</v>
      </c>
      <c r="L24">
        <f t="shared" si="0"/>
        <v>0</v>
      </c>
    </row>
    <row r="25" spans="1:12" x14ac:dyDescent="0.25">
      <c r="A25">
        <v>18</v>
      </c>
      <c r="L25">
        <f t="shared" si="0"/>
        <v>0</v>
      </c>
    </row>
    <row r="26" spans="1:12" x14ac:dyDescent="0.25">
      <c r="A26">
        <v>19</v>
      </c>
      <c r="L26">
        <f t="shared" si="0"/>
        <v>0</v>
      </c>
    </row>
    <row r="27" spans="1:12" x14ac:dyDescent="0.25">
      <c r="A27">
        <v>20</v>
      </c>
      <c r="L27">
        <f t="shared" si="0"/>
        <v>0</v>
      </c>
    </row>
    <row r="28" spans="1:12" x14ac:dyDescent="0.25">
      <c r="A28">
        <v>21</v>
      </c>
      <c r="L28">
        <f t="shared" si="0"/>
        <v>0</v>
      </c>
    </row>
    <row r="29" spans="1:12" x14ac:dyDescent="0.25">
      <c r="A29">
        <v>22</v>
      </c>
      <c r="L29">
        <f t="shared" si="0"/>
        <v>0</v>
      </c>
    </row>
    <row r="30" spans="1:12" x14ac:dyDescent="0.25">
      <c r="A30">
        <v>23</v>
      </c>
      <c r="L30">
        <f t="shared" si="0"/>
        <v>0</v>
      </c>
    </row>
    <row r="31" spans="1:12" x14ac:dyDescent="0.25">
      <c r="A31">
        <v>24</v>
      </c>
      <c r="L31">
        <f t="shared" si="0"/>
        <v>0</v>
      </c>
    </row>
    <row r="32" spans="1:12" x14ac:dyDescent="0.25">
      <c r="A32">
        <v>25</v>
      </c>
      <c r="L32">
        <f t="shared" si="0"/>
        <v>0</v>
      </c>
    </row>
    <row r="33" spans="1:12" x14ac:dyDescent="0.25">
      <c r="A33">
        <v>26</v>
      </c>
      <c r="L33">
        <f t="shared" si="0"/>
        <v>0</v>
      </c>
    </row>
    <row r="34" spans="1:12" x14ac:dyDescent="0.25">
      <c r="A34">
        <v>27</v>
      </c>
      <c r="L34">
        <f t="shared" si="0"/>
        <v>0</v>
      </c>
    </row>
    <row r="35" spans="1:12" x14ac:dyDescent="0.25">
      <c r="A35">
        <v>28</v>
      </c>
      <c r="L35">
        <f t="shared" si="0"/>
        <v>0</v>
      </c>
    </row>
    <row r="36" spans="1:12" x14ac:dyDescent="0.25">
      <c r="A36">
        <v>29</v>
      </c>
      <c r="L36">
        <f t="shared" si="0"/>
        <v>0</v>
      </c>
    </row>
    <row r="37" spans="1:12" x14ac:dyDescent="0.25">
      <c r="A37">
        <v>30</v>
      </c>
      <c r="L37">
        <f t="shared" si="0"/>
        <v>0</v>
      </c>
    </row>
    <row r="38" spans="1:12" x14ac:dyDescent="0.25">
      <c r="A38">
        <v>31</v>
      </c>
      <c r="L38">
        <f t="shared" si="0"/>
        <v>0</v>
      </c>
    </row>
    <row r="39" spans="1:12" x14ac:dyDescent="0.25">
      <c r="A39">
        <v>32</v>
      </c>
      <c r="L39">
        <f t="shared" si="0"/>
        <v>0</v>
      </c>
    </row>
    <row r="40" spans="1:12" x14ac:dyDescent="0.25">
      <c r="A40">
        <v>33</v>
      </c>
      <c r="L40">
        <f t="shared" si="0"/>
        <v>0</v>
      </c>
    </row>
    <row r="41" spans="1:12" x14ac:dyDescent="0.25">
      <c r="A41">
        <v>34</v>
      </c>
      <c r="L41">
        <f t="shared" si="0"/>
        <v>0</v>
      </c>
    </row>
    <row r="42" spans="1:12" x14ac:dyDescent="0.25">
      <c r="A42">
        <v>35</v>
      </c>
      <c r="L42">
        <f t="shared" si="0"/>
        <v>0</v>
      </c>
    </row>
    <row r="43" spans="1:12" x14ac:dyDescent="0.25">
      <c r="A43">
        <v>36</v>
      </c>
      <c r="L43">
        <f t="shared" si="0"/>
        <v>0</v>
      </c>
    </row>
    <row r="44" spans="1:12" x14ac:dyDescent="0.25">
      <c r="A44">
        <v>37</v>
      </c>
      <c r="L44">
        <f t="shared" si="0"/>
        <v>0</v>
      </c>
    </row>
    <row r="45" spans="1:12" x14ac:dyDescent="0.25">
      <c r="A45">
        <v>38</v>
      </c>
      <c r="L45">
        <f t="shared" si="0"/>
        <v>0</v>
      </c>
    </row>
    <row r="46" spans="1:12" x14ac:dyDescent="0.25">
      <c r="A46">
        <v>39</v>
      </c>
      <c r="L46">
        <f t="shared" si="0"/>
        <v>0</v>
      </c>
    </row>
    <row r="47" spans="1:12" x14ac:dyDescent="0.25">
      <c r="A47">
        <v>40</v>
      </c>
      <c r="L47" t="str">
        <f>IFERROR(INDEX(Options!A154:A159,Report!P35),"error result")</f>
        <v>Independent, full function</v>
      </c>
    </row>
    <row r="48" spans="1:12" x14ac:dyDescent="0.25">
      <c r="A48">
        <v>41</v>
      </c>
      <c r="L48">
        <f>IFERROR(K48,"error result")</f>
        <v>0</v>
      </c>
    </row>
    <row r="49" spans="1:13" x14ac:dyDescent="0.25">
      <c r="A49">
        <v>42</v>
      </c>
    </row>
    <row r="50" spans="1:13" x14ac:dyDescent="0.25">
      <c r="A50">
        <v>43</v>
      </c>
    </row>
    <row r="51" spans="1:13" x14ac:dyDescent="0.25">
      <c r="A51">
        <v>44</v>
      </c>
      <c r="L51" t="str">
        <f>IFERROR(INDEX(Options!A173:A176,Report!P41),"error result")</f>
        <v>Spontaneous</v>
      </c>
      <c r="M51">
        <f>IFERROR(VLOOKUP(L51,Options!$A$173:$B$176,2,FALSE),0)</f>
        <v>4</v>
      </c>
    </row>
    <row r="52" spans="1:13" x14ac:dyDescent="0.25">
      <c r="A52">
        <v>45</v>
      </c>
    </row>
    <row r="53" spans="1:13" x14ac:dyDescent="0.25">
      <c r="A53">
        <v>46</v>
      </c>
      <c r="L53" t="str">
        <f>IFERROR(INDEX(Options!A179:A183,Report!P43),"error result")</f>
        <v>Oriented</v>
      </c>
      <c r="M53">
        <f>IFERROR(VLOOKUP(L53,Options!$A$179:$B$183,2,FALSE),0)</f>
        <v>5</v>
      </c>
    </row>
    <row r="54" spans="1:13" x14ac:dyDescent="0.25">
      <c r="A54">
        <v>47</v>
      </c>
    </row>
    <row r="55" spans="1:13" x14ac:dyDescent="0.25">
      <c r="A55">
        <v>48</v>
      </c>
      <c r="L55" t="str">
        <f>IFERROR(INDEX(Options!A186:A191,Report!P45),"error result")</f>
        <v>Obey Commands</v>
      </c>
      <c r="M55">
        <f>IFERROR(VLOOKUP(L55,Options!$A$186:$B$191,2,FALSE),0)</f>
        <v>6</v>
      </c>
    </row>
    <row r="56" spans="1:13" x14ac:dyDescent="0.25">
      <c r="A56">
        <v>49</v>
      </c>
    </row>
    <row r="57" spans="1:13" x14ac:dyDescent="0.25">
      <c r="A57">
        <v>50</v>
      </c>
      <c r="L57">
        <f>IFERROR(B57,"error result")</f>
        <v>0</v>
      </c>
    </row>
    <row r="58" spans="1:13" x14ac:dyDescent="0.25">
      <c r="A58">
        <v>51</v>
      </c>
      <c r="L58">
        <f>IFERROR(C57,"error result")</f>
        <v>0</v>
      </c>
    </row>
    <row r="59" spans="1:13" x14ac:dyDescent="0.25">
      <c r="A59">
        <v>52</v>
      </c>
    </row>
    <row r="60" spans="1:13" x14ac:dyDescent="0.25">
      <c r="A60">
        <v>53</v>
      </c>
    </row>
    <row r="61" spans="1:13" x14ac:dyDescent="0.25">
      <c r="A61">
        <v>54</v>
      </c>
    </row>
    <row r="62" spans="1:13" x14ac:dyDescent="0.25">
      <c r="A62">
        <v>55</v>
      </c>
    </row>
    <row r="63" spans="1:13" x14ac:dyDescent="0.25">
      <c r="A63">
        <v>56</v>
      </c>
    </row>
    <row r="64" spans="1:13" x14ac:dyDescent="0.25">
      <c r="A64">
        <v>57</v>
      </c>
    </row>
    <row r="65" spans="1:12" x14ac:dyDescent="0.25">
      <c r="A65">
        <v>58</v>
      </c>
    </row>
    <row r="66" spans="1:12" x14ac:dyDescent="0.25">
      <c r="A66">
        <v>59</v>
      </c>
    </row>
    <row r="67" spans="1:12" x14ac:dyDescent="0.25">
      <c r="A67">
        <v>60</v>
      </c>
    </row>
    <row r="68" spans="1:12" x14ac:dyDescent="0.25">
      <c r="A68">
        <v>61</v>
      </c>
    </row>
    <row r="69" spans="1:12" x14ac:dyDescent="0.25">
      <c r="A69">
        <v>62</v>
      </c>
    </row>
    <row r="70" spans="1:12" x14ac:dyDescent="0.25">
      <c r="A70">
        <v>63</v>
      </c>
    </row>
    <row r="71" spans="1:12" x14ac:dyDescent="0.25">
      <c r="A71">
        <v>64</v>
      </c>
    </row>
    <row r="72" spans="1:12" x14ac:dyDescent="0.25">
      <c r="A72">
        <v>65</v>
      </c>
    </row>
    <row r="73" spans="1:12" x14ac:dyDescent="0.25">
      <c r="A73">
        <v>66</v>
      </c>
    </row>
    <row r="74" spans="1:12" x14ac:dyDescent="0.25">
      <c r="A74">
        <v>67</v>
      </c>
      <c r="L74">
        <f>IFERROR(B74,"error result")</f>
        <v>0</v>
      </c>
    </row>
    <row r="75" spans="1:12" x14ac:dyDescent="0.25">
      <c r="A75">
        <v>68</v>
      </c>
    </row>
    <row r="76" spans="1:12" x14ac:dyDescent="0.25">
      <c r="A76">
        <v>69</v>
      </c>
    </row>
    <row r="77" spans="1:12" x14ac:dyDescent="0.25">
      <c r="A77">
        <v>70</v>
      </c>
      <c r="L77" t="str">
        <f>IFERROR(INDEX(Options!A242:A243,Report!P60),"error result")</f>
        <v>Person</v>
      </c>
    </row>
    <row r="78" spans="1:12" x14ac:dyDescent="0.25">
      <c r="A78">
        <v>71</v>
      </c>
    </row>
    <row r="79" spans="1:12" x14ac:dyDescent="0.25">
      <c r="A79">
        <v>72</v>
      </c>
    </row>
    <row r="80" spans="1:12" x14ac:dyDescent="0.25">
      <c r="A80">
        <v>73</v>
      </c>
    </row>
    <row r="81" spans="1:12" x14ac:dyDescent="0.25">
      <c r="A81">
        <v>74</v>
      </c>
    </row>
    <row r="82" spans="1:12" x14ac:dyDescent="0.25">
      <c r="A82">
        <v>75</v>
      </c>
    </row>
    <row r="83" spans="1:12" x14ac:dyDescent="0.25">
      <c r="A83">
        <v>76</v>
      </c>
      <c r="L83" t="str">
        <f>IFERROR(INDEX(Options!A254:A260,Report!P63),"error result")</f>
        <v>Parent</v>
      </c>
    </row>
    <row r="84" spans="1:12" x14ac:dyDescent="0.25">
      <c r="A84">
        <v>77</v>
      </c>
    </row>
    <row r="85" spans="1:12" x14ac:dyDescent="0.25">
      <c r="A85">
        <v>78</v>
      </c>
      <c r="L85" t="str">
        <f>IFERROR(INDEX(Options!A249:A250,Report!P66),"error result")</f>
        <v>Living</v>
      </c>
    </row>
    <row r="86" spans="1:12" x14ac:dyDescent="0.25">
      <c r="A86">
        <v>79</v>
      </c>
    </row>
    <row r="87" spans="1:12" x14ac:dyDescent="0.25">
      <c r="A87">
        <v>80</v>
      </c>
      <c r="L87" t="str">
        <f>IFERROR(INDEX(Options!A263:A266,Report!P68),"error result")</f>
        <v>Close/Touching</v>
      </c>
    </row>
    <row r="88" spans="1:12" x14ac:dyDescent="0.25">
      <c r="A88">
        <v>81</v>
      </c>
    </row>
    <row r="89" spans="1:12" x14ac:dyDescent="0.25">
      <c r="A89">
        <v>82</v>
      </c>
      <c r="L89" t="str">
        <f>IFERROR(INDEX(Options!A269:A272,Report!P70),"error result")</f>
        <v>Standing/Sitting Still</v>
      </c>
    </row>
    <row r="90" spans="1:12" x14ac:dyDescent="0.25">
      <c r="A90">
        <v>83</v>
      </c>
    </row>
    <row r="91" spans="1:12" x14ac:dyDescent="0.25">
      <c r="A91">
        <v>84</v>
      </c>
      <c r="L91" t="str">
        <f>IFERROR(INDEX(Options!A275:A278,Report!P72),"error result")</f>
        <v>Positive - loving, kind, pleasant</v>
      </c>
    </row>
    <row r="92" spans="1:12" x14ac:dyDescent="0.25">
      <c r="A92">
        <v>85</v>
      </c>
    </row>
    <row r="93" spans="1:12" x14ac:dyDescent="0.25">
      <c r="A93">
        <v>86</v>
      </c>
      <c r="L93" t="str">
        <f>IFERROR(INDEX(Options!A281:A287,Report!P39),"error result")</f>
        <v>Eye contact</v>
      </c>
    </row>
    <row r="94" spans="1:12" x14ac:dyDescent="0.25">
      <c r="A94">
        <v>87</v>
      </c>
    </row>
    <row r="95" spans="1:12" x14ac:dyDescent="0.25">
      <c r="A95">
        <v>88</v>
      </c>
    </row>
    <row r="96" spans="1:12" x14ac:dyDescent="0.25">
      <c r="A96">
        <v>89</v>
      </c>
    </row>
    <row r="97" spans="1:12" x14ac:dyDescent="0.25">
      <c r="A97">
        <v>90</v>
      </c>
      <c r="L97">
        <f>K97</f>
        <v>0</v>
      </c>
    </row>
    <row r="98" spans="1:12" x14ac:dyDescent="0.25">
      <c r="A98">
        <v>91</v>
      </c>
      <c r="L98">
        <f t="shared" ref="L98:L101" si="1">K98</f>
        <v>0</v>
      </c>
    </row>
    <row r="99" spans="1:12" x14ac:dyDescent="0.25">
      <c r="A99">
        <v>92</v>
      </c>
      <c r="L99">
        <f t="shared" si="1"/>
        <v>0</v>
      </c>
    </row>
    <row r="100" spans="1:12" x14ac:dyDescent="0.25">
      <c r="A100">
        <v>93</v>
      </c>
      <c r="L100">
        <f t="shared" si="1"/>
        <v>0</v>
      </c>
    </row>
    <row r="101" spans="1:12" x14ac:dyDescent="0.25">
      <c r="A101">
        <v>94</v>
      </c>
      <c r="L101">
        <f t="shared" si="1"/>
        <v>0</v>
      </c>
    </row>
    <row r="102" spans="1:12" x14ac:dyDescent="0.25">
      <c r="A102">
        <v>95</v>
      </c>
    </row>
    <row r="103" spans="1:12" x14ac:dyDescent="0.25">
      <c r="A103">
        <v>96</v>
      </c>
    </row>
    <row r="104" spans="1:12" x14ac:dyDescent="0.25">
      <c r="A104">
        <v>97</v>
      </c>
    </row>
    <row r="105" spans="1:12" x14ac:dyDescent="0.25">
      <c r="A105">
        <v>98</v>
      </c>
      <c r="L105">
        <f>K105</f>
        <v>0</v>
      </c>
    </row>
    <row r="106" spans="1:12" x14ac:dyDescent="0.25">
      <c r="A106">
        <v>99</v>
      </c>
    </row>
    <row r="107" spans="1:12" x14ac:dyDescent="0.25">
      <c r="A107">
        <v>100</v>
      </c>
      <c r="L107">
        <f>K107</f>
        <v>0</v>
      </c>
    </row>
    <row r="108" spans="1:12" x14ac:dyDescent="0.25">
      <c r="A108">
        <v>101</v>
      </c>
      <c r="L108">
        <f>K108</f>
        <v>0</v>
      </c>
    </row>
    <row r="109" spans="1:12" x14ac:dyDescent="0.25">
      <c r="A109">
        <v>102</v>
      </c>
    </row>
    <row r="110" spans="1:12" x14ac:dyDescent="0.25">
      <c r="A110">
        <v>103</v>
      </c>
      <c r="L110">
        <f>K110</f>
        <v>0</v>
      </c>
    </row>
    <row r="111" spans="1:12" x14ac:dyDescent="0.25">
      <c r="A111">
        <v>104</v>
      </c>
    </row>
    <row r="112" spans="1:12" x14ac:dyDescent="0.25">
      <c r="A112">
        <v>105</v>
      </c>
    </row>
    <row r="113" spans="1:12" x14ac:dyDescent="0.25">
      <c r="A113">
        <v>106</v>
      </c>
    </row>
    <row r="114" spans="1:12" x14ac:dyDescent="0.25">
      <c r="A114">
        <v>107</v>
      </c>
    </row>
    <row r="115" spans="1:12" x14ac:dyDescent="0.25">
      <c r="A115">
        <v>108</v>
      </c>
    </row>
    <row r="116" spans="1:12" x14ac:dyDescent="0.25">
      <c r="A116">
        <v>109</v>
      </c>
      <c r="L116">
        <f>K116</f>
        <v>0</v>
      </c>
    </row>
    <row r="117" spans="1:12" x14ac:dyDescent="0.25">
      <c r="A117">
        <v>110</v>
      </c>
    </row>
    <row r="120" spans="1:12" x14ac:dyDescent="0.25">
      <c r="A120" s="2" t="s">
        <v>27</v>
      </c>
    </row>
    <row r="121" spans="1:12" x14ac:dyDescent="0.25">
      <c r="A121" s="2"/>
    </row>
    <row r="122" spans="1:12" x14ac:dyDescent="0.25">
      <c r="A122" t="s">
        <v>2</v>
      </c>
    </row>
    <row r="123" spans="1:12" x14ac:dyDescent="0.25">
      <c r="A123" t="s">
        <v>3</v>
      </c>
    </row>
    <row r="124" spans="1:12" x14ac:dyDescent="0.25">
      <c r="A124" t="s">
        <v>4</v>
      </c>
    </row>
    <row r="125" spans="1:12" x14ac:dyDescent="0.25">
      <c r="A125" t="s">
        <v>5</v>
      </c>
    </row>
    <row r="126" spans="1:12" x14ac:dyDescent="0.25">
      <c r="A126" t="s">
        <v>6</v>
      </c>
    </row>
    <row r="127" spans="1:12" x14ac:dyDescent="0.25">
      <c r="A127" t="s">
        <v>7</v>
      </c>
    </row>
    <row r="128" spans="1:12" x14ac:dyDescent="0.25">
      <c r="A128" t="s">
        <v>8</v>
      </c>
    </row>
    <row r="129" spans="1:1" x14ac:dyDescent="0.25">
      <c r="A129" t="s">
        <v>9</v>
      </c>
    </row>
    <row r="131" spans="1:1" x14ac:dyDescent="0.25">
      <c r="A131" s="2" t="s">
        <v>10</v>
      </c>
    </row>
    <row r="132" spans="1:1" x14ac:dyDescent="0.25">
      <c r="A132" s="2"/>
    </row>
    <row r="133" spans="1:1" x14ac:dyDescent="0.25">
      <c r="A133" t="s">
        <v>11</v>
      </c>
    </row>
    <row r="134" spans="1:1" x14ac:dyDescent="0.25">
      <c r="A134" t="s">
        <v>12</v>
      </c>
    </row>
    <row r="135" spans="1:1" x14ac:dyDescent="0.25">
      <c r="A135" t="s">
        <v>13</v>
      </c>
    </row>
    <row r="136" spans="1:1" x14ac:dyDescent="0.25">
      <c r="A136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20</v>
      </c>
    </row>
    <row r="143" spans="1:1" x14ac:dyDescent="0.25">
      <c r="A143" t="s">
        <v>21</v>
      </c>
    </row>
    <row r="144" spans="1:1" x14ac:dyDescent="0.25">
      <c r="A144" t="s">
        <v>22</v>
      </c>
    </row>
    <row r="145" spans="1:2" x14ac:dyDescent="0.25">
      <c r="A145" t="s">
        <v>23</v>
      </c>
    </row>
    <row r="146" spans="1:2" x14ac:dyDescent="0.25">
      <c r="A146" t="s">
        <v>24</v>
      </c>
    </row>
    <row r="147" spans="1:2" x14ac:dyDescent="0.25">
      <c r="A147" t="s">
        <v>25</v>
      </c>
    </row>
    <row r="148" spans="1:2" x14ac:dyDescent="0.25">
      <c r="A148" t="s">
        <v>8</v>
      </c>
    </row>
    <row r="150" spans="1:2" x14ac:dyDescent="0.25">
      <c r="A150" s="2" t="s">
        <v>28</v>
      </c>
    </row>
    <row r="152" spans="1:2" x14ac:dyDescent="0.25">
      <c r="A152" s="2" t="s">
        <v>29</v>
      </c>
    </row>
    <row r="153" spans="1:2" x14ac:dyDescent="0.25">
      <c r="A153" s="2"/>
    </row>
    <row r="154" spans="1:2" x14ac:dyDescent="0.25">
      <c r="A154" t="s">
        <v>30</v>
      </c>
      <c r="B154">
        <v>6</v>
      </c>
    </row>
    <row r="155" spans="1:2" x14ac:dyDescent="0.25">
      <c r="A155" t="s">
        <v>31</v>
      </c>
      <c r="B155">
        <v>5</v>
      </c>
    </row>
    <row r="156" spans="1:2" x14ac:dyDescent="0.25">
      <c r="A156" t="s">
        <v>32</v>
      </c>
      <c r="B156">
        <v>4</v>
      </c>
    </row>
    <row r="157" spans="1:2" x14ac:dyDescent="0.25">
      <c r="A157" t="s">
        <v>33</v>
      </c>
      <c r="B157">
        <v>3</v>
      </c>
    </row>
    <row r="158" spans="1:2" x14ac:dyDescent="0.25">
      <c r="A158" t="s">
        <v>34</v>
      </c>
      <c r="B158">
        <v>2</v>
      </c>
    </row>
    <row r="159" spans="1:2" x14ac:dyDescent="0.25">
      <c r="A159" t="s">
        <v>35</v>
      </c>
      <c r="B159">
        <v>1</v>
      </c>
    </row>
    <row r="161" spans="1:2" x14ac:dyDescent="0.25">
      <c r="A161" t="s">
        <v>36</v>
      </c>
    </row>
    <row r="163" spans="1:2" x14ac:dyDescent="0.25">
      <c r="A163" s="2" t="s">
        <v>78</v>
      </c>
    </row>
    <row r="164" spans="1:2" x14ac:dyDescent="0.25">
      <c r="A164" s="2"/>
    </row>
    <row r="165" spans="1:2" x14ac:dyDescent="0.25">
      <c r="A165" t="s">
        <v>38</v>
      </c>
    </row>
    <row r="166" spans="1:2" x14ac:dyDescent="0.25">
      <c r="A166" t="s">
        <v>39</v>
      </c>
    </row>
    <row r="167" spans="1:2" x14ac:dyDescent="0.25">
      <c r="A167" t="s">
        <v>40</v>
      </c>
    </row>
    <row r="168" spans="1:2" x14ac:dyDescent="0.25">
      <c r="A168" t="s">
        <v>41</v>
      </c>
    </row>
    <row r="170" spans="1:2" x14ac:dyDescent="0.25">
      <c r="A170" s="2" t="s">
        <v>37</v>
      </c>
    </row>
    <row r="171" spans="1:2" x14ac:dyDescent="0.25">
      <c r="A171" s="1" t="s">
        <v>42</v>
      </c>
    </row>
    <row r="172" spans="1:2" x14ac:dyDescent="0.25">
      <c r="A172" s="1"/>
    </row>
    <row r="173" spans="1:2" x14ac:dyDescent="0.25">
      <c r="A173" t="s">
        <v>63</v>
      </c>
      <c r="B173">
        <v>4</v>
      </c>
    </row>
    <row r="174" spans="1:2" x14ac:dyDescent="0.25">
      <c r="A174" t="s">
        <v>64</v>
      </c>
      <c r="B174">
        <v>3</v>
      </c>
    </row>
    <row r="175" spans="1:2" x14ac:dyDescent="0.25">
      <c r="A175" t="s">
        <v>65</v>
      </c>
      <c r="B175">
        <v>2</v>
      </c>
    </row>
    <row r="176" spans="1:2" x14ac:dyDescent="0.25">
      <c r="A176" t="s">
        <v>66</v>
      </c>
      <c r="B176">
        <v>1</v>
      </c>
    </row>
    <row r="177" spans="1:2" x14ac:dyDescent="0.25">
      <c r="A177" s="1" t="s">
        <v>67</v>
      </c>
    </row>
    <row r="178" spans="1:2" x14ac:dyDescent="0.25">
      <c r="A178" s="1"/>
    </row>
    <row r="179" spans="1:2" x14ac:dyDescent="0.25">
      <c r="A179" t="s">
        <v>68</v>
      </c>
      <c r="B179">
        <v>5</v>
      </c>
    </row>
    <row r="180" spans="1:2" x14ac:dyDescent="0.25">
      <c r="A180" t="s">
        <v>69</v>
      </c>
      <c r="B180">
        <v>4</v>
      </c>
    </row>
    <row r="181" spans="1:2" x14ac:dyDescent="0.25">
      <c r="A181" t="s">
        <v>77</v>
      </c>
      <c r="B181">
        <v>3</v>
      </c>
    </row>
    <row r="182" spans="1:2" x14ac:dyDescent="0.25">
      <c r="A182" t="s">
        <v>70</v>
      </c>
      <c r="B182">
        <v>2</v>
      </c>
    </row>
    <row r="183" spans="1:2" x14ac:dyDescent="0.25">
      <c r="A183" t="s">
        <v>66</v>
      </c>
      <c r="B183">
        <v>1</v>
      </c>
    </row>
    <row r="184" spans="1:2" x14ac:dyDescent="0.25">
      <c r="A184" s="1" t="s">
        <v>71</v>
      </c>
    </row>
    <row r="185" spans="1:2" x14ac:dyDescent="0.25">
      <c r="A185" s="1"/>
    </row>
    <row r="186" spans="1:2" x14ac:dyDescent="0.25">
      <c r="A186" t="s">
        <v>72</v>
      </c>
      <c r="B186">
        <v>6</v>
      </c>
    </row>
    <row r="187" spans="1:2" x14ac:dyDescent="0.25">
      <c r="A187" t="s">
        <v>73</v>
      </c>
      <c r="B187">
        <v>5</v>
      </c>
    </row>
    <row r="188" spans="1:2" x14ac:dyDescent="0.25">
      <c r="A188" t="s">
        <v>74</v>
      </c>
      <c r="B188">
        <v>4</v>
      </c>
    </row>
    <row r="189" spans="1:2" x14ac:dyDescent="0.25">
      <c r="A189" t="s">
        <v>75</v>
      </c>
      <c r="B189">
        <v>3</v>
      </c>
    </row>
    <row r="190" spans="1:2" x14ac:dyDescent="0.25">
      <c r="A190" t="s">
        <v>76</v>
      </c>
      <c r="B190">
        <v>2</v>
      </c>
    </row>
    <row r="191" spans="1:2" x14ac:dyDescent="0.25">
      <c r="A191" t="s">
        <v>66</v>
      </c>
      <c r="B191">
        <v>1</v>
      </c>
    </row>
    <row r="193" spans="1:5" x14ac:dyDescent="0.25">
      <c r="A193">
        <v>13</v>
      </c>
      <c r="B193" t="s">
        <v>79</v>
      </c>
    </row>
    <row r="194" spans="1:5" x14ac:dyDescent="0.25">
      <c r="A194">
        <v>9</v>
      </c>
      <c r="B194" t="s">
        <v>80</v>
      </c>
    </row>
    <row r="195" spans="1:5" x14ac:dyDescent="0.25">
      <c r="A195">
        <v>3</v>
      </c>
      <c r="B195" t="s">
        <v>81</v>
      </c>
    </row>
    <row r="197" spans="1:5" x14ac:dyDescent="0.25">
      <c r="A197" t="s">
        <v>43</v>
      </c>
    </row>
    <row r="198" spans="1:5" x14ac:dyDescent="0.25">
      <c r="A198" t="s">
        <v>44</v>
      </c>
    </row>
    <row r="199" spans="1:5" x14ac:dyDescent="0.25">
      <c r="A199" t="s">
        <v>45</v>
      </c>
      <c r="B199" t="s">
        <v>48</v>
      </c>
      <c r="C199" t="s">
        <v>52</v>
      </c>
      <c r="D199" t="s">
        <v>53</v>
      </c>
      <c r="E199" t="s">
        <v>54</v>
      </c>
    </row>
    <row r="200" spans="1:5" x14ac:dyDescent="0.25">
      <c r="A200" t="s">
        <v>46</v>
      </c>
    </row>
    <row r="201" spans="1:5" x14ac:dyDescent="0.25">
      <c r="A201" t="s">
        <v>47</v>
      </c>
    </row>
    <row r="202" spans="1:5" x14ac:dyDescent="0.25">
      <c r="A202" t="s">
        <v>49</v>
      </c>
    </row>
    <row r="203" spans="1:5" x14ac:dyDescent="0.25">
      <c r="A203" t="s">
        <v>50</v>
      </c>
    </row>
    <row r="204" spans="1:5" x14ac:dyDescent="0.25">
      <c r="A204" t="s">
        <v>51</v>
      </c>
    </row>
    <row r="205" spans="1:5" x14ac:dyDescent="0.25">
      <c r="A205" t="s">
        <v>55</v>
      </c>
    </row>
    <row r="206" spans="1:5" x14ac:dyDescent="0.25">
      <c r="A206" t="s">
        <v>56</v>
      </c>
    </row>
    <row r="207" spans="1:5" x14ac:dyDescent="0.25">
      <c r="A207" t="s">
        <v>57</v>
      </c>
    </row>
    <row r="208" spans="1:5" x14ac:dyDescent="0.25">
      <c r="A208" t="s">
        <v>58</v>
      </c>
    </row>
    <row r="209" spans="1:2" x14ac:dyDescent="0.25">
      <c r="A209" t="s">
        <v>59</v>
      </c>
    </row>
    <row r="210" spans="1:2" x14ac:dyDescent="0.25">
      <c r="A210" t="s">
        <v>60</v>
      </c>
    </row>
    <row r="211" spans="1:2" x14ac:dyDescent="0.25">
      <c r="A211" t="s">
        <v>61</v>
      </c>
    </row>
    <row r="212" spans="1:2" x14ac:dyDescent="0.25">
      <c r="A212" t="s">
        <v>62</v>
      </c>
    </row>
    <row r="214" spans="1:2" x14ac:dyDescent="0.25">
      <c r="A214" s="2" t="s">
        <v>82</v>
      </c>
    </row>
    <row r="215" spans="1:2" x14ac:dyDescent="0.25">
      <c r="A215" s="1" t="s">
        <v>83</v>
      </c>
    </row>
    <row r="216" spans="1:2" x14ac:dyDescent="0.25">
      <c r="A216" s="1"/>
    </row>
    <row r="217" spans="1:2" x14ac:dyDescent="0.25">
      <c r="A217" t="s">
        <v>84</v>
      </c>
      <c r="B217">
        <v>4</v>
      </c>
    </row>
    <row r="218" spans="1:2" x14ac:dyDescent="0.25">
      <c r="A218" t="s">
        <v>85</v>
      </c>
      <c r="B218">
        <v>3</v>
      </c>
    </row>
    <row r="219" spans="1:2" x14ac:dyDescent="0.25">
      <c r="A219" t="s">
        <v>86</v>
      </c>
      <c r="B219">
        <v>2</v>
      </c>
    </row>
    <row r="220" spans="1:2" x14ac:dyDescent="0.25">
      <c r="A220" t="s">
        <v>87</v>
      </c>
      <c r="B220">
        <v>1</v>
      </c>
    </row>
    <row r="221" spans="1:2" x14ac:dyDescent="0.25">
      <c r="A221" s="1" t="s">
        <v>88</v>
      </c>
    </row>
    <row r="222" spans="1:2" x14ac:dyDescent="0.25">
      <c r="A222" s="1"/>
    </row>
    <row r="223" spans="1:2" x14ac:dyDescent="0.25">
      <c r="A223" t="s">
        <v>89</v>
      </c>
      <c r="B223">
        <v>4</v>
      </c>
    </row>
    <row r="224" spans="1:2" x14ac:dyDescent="0.25">
      <c r="A224" t="s">
        <v>90</v>
      </c>
      <c r="B224">
        <v>3</v>
      </c>
    </row>
    <row r="225" spans="1:2" x14ac:dyDescent="0.25">
      <c r="A225" t="s">
        <v>86</v>
      </c>
      <c r="B225">
        <v>2</v>
      </c>
    </row>
    <row r="226" spans="1:2" x14ac:dyDescent="0.25">
      <c r="A226" t="s">
        <v>87</v>
      </c>
      <c r="B226">
        <v>1</v>
      </c>
    </row>
    <row r="227" spans="1:2" x14ac:dyDescent="0.25">
      <c r="A227" s="1" t="s">
        <v>91</v>
      </c>
    </row>
    <row r="228" spans="1:2" x14ac:dyDescent="0.25">
      <c r="A228" s="1"/>
    </row>
    <row r="229" spans="1:2" x14ac:dyDescent="0.25">
      <c r="A229" t="s">
        <v>92</v>
      </c>
      <c r="B229">
        <v>3</v>
      </c>
    </row>
    <row r="230" spans="1:2" x14ac:dyDescent="0.25">
      <c r="A230" t="s">
        <v>93</v>
      </c>
      <c r="B230">
        <v>2</v>
      </c>
    </row>
    <row r="231" spans="1:2" x14ac:dyDescent="0.25">
      <c r="A231" t="s">
        <v>66</v>
      </c>
      <c r="B231">
        <v>1</v>
      </c>
    </row>
    <row r="233" spans="1:2" x14ac:dyDescent="0.25">
      <c r="A233" t="s">
        <v>94</v>
      </c>
    </row>
    <row r="234" spans="1:2" x14ac:dyDescent="0.25">
      <c r="A234" t="s">
        <v>95</v>
      </c>
      <c r="B234">
        <v>1</v>
      </c>
    </row>
    <row r="235" spans="1:2" x14ac:dyDescent="0.25">
      <c r="A235" t="s">
        <v>96</v>
      </c>
      <c r="B235">
        <v>1</v>
      </c>
    </row>
    <row r="236" spans="1:2" x14ac:dyDescent="0.25">
      <c r="A236" t="s">
        <v>97</v>
      </c>
      <c r="B236">
        <v>1</v>
      </c>
    </row>
    <row r="237" spans="1:2" x14ac:dyDescent="0.25">
      <c r="A237" t="s">
        <v>98</v>
      </c>
      <c r="B237">
        <v>1</v>
      </c>
    </row>
    <row r="239" spans="1:2" x14ac:dyDescent="0.25">
      <c r="A239" s="2" t="s">
        <v>99</v>
      </c>
    </row>
    <row r="240" spans="1:2" x14ac:dyDescent="0.25">
      <c r="A240" s="1" t="s">
        <v>112</v>
      </c>
    </row>
    <row r="242" spans="1:1" x14ac:dyDescent="0.25">
      <c r="A242" t="s">
        <v>95</v>
      </c>
    </row>
    <row r="243" spans="1:1" x14ac:dyDescent="0.25">
      <c r="A243" t="s">
        <v>100</v>
      </c>
    </row>
    <row r="244" spans="1:1" x14ac:dyDescent="0.25">
      <c r="A244" t="s">
        <v>140</v>
      </c>
    </row>
    <row r="245" spans="1:1" x14ac:dyDescent="0.25">
      <c r="A245" t="s">
        <v>141</v>
      </c>
    </row>
    <row r="247" spans="1:1" x14ac:dyDescent="0.25">
      <c r="A247" s="1" t="s">
        <v>113</v>
      </c>
    </row>
    <row r="248" spans="1:1" x14ac:dyDescent="0.25">
      <c r="A248" s="1"/>
    </row>
    <row r="249" spans="1:1" x14ac:dyDescent="0.25">
      <c r="A249" t="s">
        <v>105</v>
      </c>
    </row>
    <row r="250" spans="1:1" x14ac:dyDescent="0.25">
      <c r="A250" t="s">
        <v>106</v>
      </c>
    </row>
    <row r="251" spans="1:1" x14ac:dyDescent="0.25">
      <c r="A251" t="s">
        <v>9</v>
      </c>
    </row>
    <row r="252" spans="1:1" x14ac:dyDescent="0.25">
      <c r="A252" s="1" t="s">
        <v>114</v>
      </c>
    </row>
    <row r="253" spans="1:1" x14ac:dyDescent="0.25">
      <c r="A253" s="1"/>
    </row>
    <row r="254" spans="1:1" x14ac:dyDescent="0.25">
      <c r="A254" t="s">
        <v>101</v>
      </c>
    </row>
    <row r="255" spans="1:1" x14ac:dyDescent="0.25">
      <c r="A255" t="s">
        <v>102</v>
      </c>
    </row>
    <row r="256" spans="1:1" x14ac:dyDescent="0.25">
      <c r="A256" t="s">
        <v>103</v>
      </c>
    </row>
    <row r="257" spans="1:1" x14ac:dyDescent="0.25">
      <c r="A257" t="s">
        <v>104</v>
      </c>
    </row>
    <row r="258" spans="1:1" x14ac:dyDescent="0.25">
      <c r="A258" t="s">
        <v>133</v>
      </c>
    </row>
    <row r="259" spans="1:1" x14ac:dyDescent="0.25">
      <c r="A259" t="s">
        <v>132</v>
      </c>
    </row>
    <row r="260" spans="1:1" x14ac:dyDescent="0.25">
      <c r="A260" t="s">
        <v>8</v>
      </c>
    </row>
    <row r="261" spans="1:1" x14ac:dyDescent="0.25">
      <c r="A261" s="1" t="s">
        <v>115</v>
      </c>
    </row>
    <row r="262" spans="1:1" x14ac:dyDescent="0.25">
      <c r="A262" s="1"/>
    </row>
    <row r="263" spans="1:1" x14ac:dyDescent="0.25">
      <c r="A263" t="s">
        <v>111</v>
      </c>
    </row>
    <row r="264" spans="1:1" x14ac:dyDescent="0.25">
      <c r="A264" t="s">
        <v>108</v>
      </c>
    </row>
    <row r="265" spans="1:1" x14ac:dyDescent="0.25">
      <c r="A265" t="s">
        <v>109</v>
      </c>
    </row>
    <row r="266" spans="1:1" x14ac:dyDescent="0.25">
      <c r="A266" t="s">
        <v>110</v>
      </c>
    </row>
    <row r="267" spans="1:1" x14ac:dyDescent="0.25">
      <c r="A267" s="1" t="s">
        <v>134</v>
      </c>
    </row>
    <row r="268" spans="1:1" x14ac:dyDescent="0.25">
      <c r="A268" s="1"/>
    </row>
    <row r="269" spans="1:1" x14ac:dyDescent="0.25">
      <c r="A269" t="s">
        <v>116</v>
      </c>
    </row>
    <row r="270" spans="1:1" x14ac:dyDescent="0.25">
      <c r="A270" t="s">
        <v>117</v>
      </c>
    </row>
    <row r="271" spans="1:1" x14ac:dyDescent="0.25">
      <c r="A271" t="s">
        <v>118</v>
      </c>
    </row>
    <row r="272" spans="1:1" x14ac:dyDescent="0.25">
      <c r="A272" t="s">
        <v>107</v>
      </c>
    </row>
    <row r="273" spans="1:1" x14ac:dyDescent="0.25">
      <c r="A273" s="2" t="s">
        <v>142</v>
      </c>
    </row>
    <row r="274" spans="1:1" x14ac:dyDescent="0.25">
      <c r="A274" s="2"/>
    </row>
    <row r="275" spans="1:1" x14ac:dyDescent="0.25">
      <c r="A275" t="s">
        <v>122</v>
      </c>
    </row>
    <row r="276" spans="1:1" x14ac:dyDescent="0.25">
      <c r="A276" t="s">
        <v>123</v>
      </c>
    </row>
    <row r="277" spans="1:1" x14ac:dyDescent="0.25">
      <c r="A277" t="s">
        <v>124</v>
      </c>
    </row>
    <row r="278" spans="1:1" x14ac:dyDescent="0.25">
      <c r="A278" t="s">
        <v>66</v>
      </c>
    </row>
    <row r="279" spans="1:1" x14ac:dyDescent="0.25">
      <c r="A279" s="2" t="s">
        <v>125</v>
      </c>
    </row>
    <row r="280" spans="1:1" x14ac:dyDescent="0.25">
      <c r="A280" s="2"/>
    </row>
    <row r="281" spans="1:1" x14ac:dyDescent="0.25">
      <c r="A281" s="3" t="s">
        <v>130</v>
      </c>
    </row>
    <row r="282" spans="1:1" x14ac:dyDescent="0.25">
      <c r="A282" s="3" t="s">
        <v>63</v>
      </c>
    </row>
    <row r="283" spans="1:1" x14ac:dyDescent="0.25">
      <c r="A283" s="3" t="s">
        <v>126</v>
      </c>
    </row>
    <row r="284" spans="1:1" x14ac:dyDescent="0.25">
      <c r="A284" s="3" t="s">
        <v>127</v>
      </c>
    </row>
    <row r="285" spans="1:1" x14ac:dyDescent="0.25">
      <c r="A285" s="3" t="s">
        <v>128</v>
      </c>
    </row>
    <row r="286" spans="1:1" x14ac:dyDescent="0.25">
      <c r="A286" s="3" t="s">
        <v>68</v>
      </c>
    </row>
    <row r="287" spans="1:1" x14ac:dyDescent="0.25">
      <c r="A287" s="3" t="s">
        <v>129</v>
      </c>
    </row>
    <row r="288" spans="1:1" x14ac:dyDescent="0.25">
      <c r="A288" s="2" t="s">
        <v>119</v>
      </c>
    </row>
    <row r="289" spans="1:1" x14ac:dyDescent="0.25">
      <c r="A289" s="2"/>
    </row>
    <row r="290" spans="1:1" x14ac:dyDescent="0.25">
      <c r="A290" t="s">
        <v>120</v>
      </c>
    </row>
    <row r="291" spans="1:1" x14ac:dyDescent="0.25">
      <c r="A291" t="s">
        <v>121</v>
      </c>
    </row>
    <row r="292" spans="1:1" x14ac:dyDescent="0.25">
      <c r="A292" s="2" t="s">
        <v>131</v>
      </c>
    </row>
    <row r="295" spans="1:1" x14ac:dyDescent="0.25">
      <c r="A295" s="2" t="s">
        <v>137</v>
      </c>
    </row>
    <row r="296" spans="1:1" x14ac:dyDescent="0.25">
      <c r="A296" s="2"/>
    </row>
    <row r="297" spans="1:1" x14ac:dyDescent="0.25">
      <c r="A297" t="s">
        <v>138</v>
      </c>
    </row>
    <row r="298" spans="1:1" x14ac:dyDescent="0.25">
      <c r="A298" t="s">
        <v>139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C4EDF-A4D8-4E43-B380-7508F95C2038}">
  <sheetPr codeName="Sheet1"/>
  <dimension ref="A1:C1"/>
  <sheetViews>
    <sheetView workbookViewId="0">
      <selection activeCell="E9" sqref="E9"/>
    </sheetView>
  </sheetViews>
  <sheetFormatPr defaultRowHeight="15" x14ac:dyDescent="0.25"/>
  <cols>
    <col min="3" max="3" width="11.140625" bestFit="1" customWidth="1"/>
  </cols>
  <sheetData>
    <row r="1" spans="1:3" x14ac:dyDescent="0.25">
      <c r="A1" t="s">
        <v>144</v>
      </c>
      <c r="B1" t="s">
        <v>145</v>
      </c>
      <c r="C1" t="s">
        <v>146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c941e4-9dbc-466a-a966-9578e5d9664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886DDBE484C145B0277352157F9736" ma:contentTypeVersion="7" ma:contentTypeDescription="Create a new document." ma:contentTypeScope="" ma:versionID="381850326bf029dfdfc97eefc5304ce6">
  <xsd:schema xmlns:xsd="http://www.w3.org/2001/XMLSchema" xmlns:xs="http://www.w3.org/2001/XMLSchema" xmlns:p="http://schemas.microsoft.com/office/2006/metadata/properties" xmlns:ns3="a2c941e4-9dbc-466a-a966-9578e5d96645" xmlns:ns4="6a19fb84-dde3-4c1d-8554-99b64999dab5" targetNamespace="http://schemas.microsoft.com/office/2006/metadata/properties" ma:root="true" ma:fieldsID="7f2c4462ebf4f84d3aa601ec8ca2e686" ns3:_="" ns4:_="">
    <xsd:import namespace="a2c941e4-9dbc-466a-a966-9578e5d96645"/>
    <xsd:import namespace="6a19fb84-dde3-4c1d-8554-99b64999dab5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c941e4-9dbc-466a-a966-9578e5d96645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19fb84-dde3-4c1d-8554-99b64999dab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0D3298-7048-4CA6-970C-E7C976BF0DD8}">
  <ds:schemaRefs>
    <ds:schemaRef ds:uri="a2c941e4-9dbc-466a-a966-9578e5d96645"/>
    <ds:schemaRef ds:uri="http://www.w3.org/XML/1998/namespace"/>
    <ds:schemaRef ds:uri="6a19fb84-dde3-4c1d-8554-99b64999dab5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112296F7-67A5-4243-B3C4-F165E3C8CE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A014076-8B46-47B7-AFF6-BBA922291E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c941e4-9dbc-466a-a966-9578e5d96645"/>
    <ds:schemaRef ds:uri="6a19fb84-dde3-4c1d-8554-99b64999da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</vt:lpstr>
      <vt:lpstr>Data</vt:lpstr>
      <vt:lpstr>Options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Re</dc:creator>
  <cp:lastModifiedBy>Placella, Heidi</cp:lastModifiedBy>
  <dcterms:created xsi:type="dcterms:W3CDTF">2023-04-03T13:45:59Z</dcterms:created>
  <dcterms:modified xsi:type="dcterms:W3CDTF">2023-04-16T19:05:01Z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0x010100FF886DDBE484C145B0277352157F9736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reateHeaders_1" visible="true" label="CreateHeaders" imageMso="ListMacros" onAction="CreateHeaders"/>
        <mso:button idQ="doc:CreateRecord_1" visible="true" label="CreateRecord" imageMso="ListMacros" onAction="CreateRecord"/>
        <mso:button idQ="doc:GetRecord_1" visible="true" label="GetRecord" imageMso="ListMacros" onAction="GetRecord"/>
        <mso:button idQ="doc:HideShow_1" visible="true" label="HideShow" imageMso="ListMacros" onAction="HideShow"/>
        <mso:button idQ="doc:movecells_1" visible="true" label="movecells" imageMso="ListMacros" onAction="movecells"/>
        <mso:button idQ="doc:ResetForm_1" visible="true" label="ResetForm" imageMso="ListMacros" onAction="ResetForm"/>
      </mso:documentControls>
    </mso:qat>
  </mso:ribbon>
</mso:customUI>
</file>