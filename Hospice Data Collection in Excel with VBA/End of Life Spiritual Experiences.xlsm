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Data projects\DataAnalyticsProjects\Terminal Lucidity Workbook\"/>
    </mc:Choice>
  </mc:AlternateContent>
  <xr:revisionPtr revIDLastSave="0" documentId="13_ncr:1_{CF311B83-0315-4231-9F03-A3BF54C33899}" xr6:coauthVersionLast="47" xr6:coauthVersionMax="47" xr10:uidLastSave="{00000000-0000-0000-0000-000000000000}"/>
  <bookViews>
    <workbookView xWindow="-98" yWindow="-98" windowWidth="17115" windowHeight="10755" activeTab="2" xr2:uid="{682C5D0B-C805-4137-A1E7-6884AB674A2F}"/>
  </bookViews>
  <sheets>
    <sheet name="Homepage" sheetId="5" r:id="rId1"/>
    <sheet name="Front End" sheetId="1" r:id="rId2"/>
    <sheet name="VBA Test" sheetId="7" r:id="rId3"/>
    <sheet name="test" sheetId="8" r:id="rId4"/>
    <sheet name="Options" sheetId="2" r:id="rId5"/>
    <sheet name="Data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0" i="7" l="1"/>
  <c r="I72" i="7" s="1"/>
  <c r="C22" i="1"/>
  <c r="C21" i="1"/>
  <c r="C20" i="1"/>
  <c r="I53" i="7" a="1"/>
  <c r="I53" i="7" s="1"/>
  <c r="J54" i="7" s="1"/>
  <c r="I51" i="7" a="1"/>
  <c r="I51" i="7" s="1"/>
  <c r="J51" i="7" s="1"/>
  <c r="I49" i="7" a="1"/>
  <c r="I49" i="7" s="1"/>
  <c r="J49" i="7" s="1"/>
  <c r="I45" i="7" a="1"/>
  <c r="I45" i="7" s="1"/>
  <c r="I16" i="7" a="1"/>
  <c r="I16" i="7" s="1"/>
  <c r="I12" i="7" a="1"/>
  <c r="I12" i="7" s="1"/>
  <c r="I8" i="7"/>
  <c r="I3" i="7" a="1"/>
  <c r="I3" i="7" s="1"/>
  <c r="B33" i="1"/>
  <c r="C29" i="1"/>
  <c r="C28" i="1"/>
  <c r="C27" i="1"/>
  <c r="C15" i="1"/>
  <c r="B43" i="7" l="1"/>
  <c r="B31" i="1"/>
  <c r="B24" i="1"/>
  <c r="C24" i="1" s="1"/>
  <c r="C43" i="7" l="1"/>
  <c r="I56" i="7" s="1"/>
  <c r="I55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<sst xmlns="http://schemas.openxmlformats.org/spreadsheetml/2006/main" count="220" uniqueCount="174">
  <si>
    <t>Male</t>
  </si>
  <si>
    <t>Female</t>
  </si>
  <si>
    <t>Hispanic or Latino</t>
  </si>
  <si>
    <t>American Indian or Alaska Native</t>
  </si>
  <si>
    <t>Asian</t>
  </si>
  <si>
    <t>Black or African American</t>
  </si>
  <si>
    <t>Native Hawaiian or Other Pacific Islander</t>
  </si>
  <si>
    <t>White</t>
  </si>
  <si>
    <t>Other</t>
  </si>
  <si>
    <t>Unknown</t>
  </si>
  <si>
    <t>Religious Affiliation</t>
  </si>
  <si>
    <t>Christian - Evangelical Protestant</t>
  </si>
  <si>
    <t>Christian - Mainline Protestant</t>
  </si>
  <si>
    <t>Christian - Historically Black Protestant</t>
  </si>
  <si>
    <t>Christian - Catholic</t>
  </si>
  <si>
    <t>Christian - Mormon</t>
  </si>
  <si>
    <t>Christian - Orthodox</t>
  </si>
  <si>
    <t>Christian - Jehovah's Witness</t>
  </si>
  <si>
    <t>Christian - Other</t>
  </si>
  <si>
    <t>Jewish</t>
  </si>
  <si>
    <t>Muslim</t>
  </si>
  <si>
    <t>Buddhist</t>
  </si>
  <si>
    <t>Hindu</t>
  </si>
  <si>
    <t>Atheist</t>
  </si>
  <si>
    <t>Agnostic</t>
  </si>
  <si>
    <t>Don't Know</t>
  </si>
  <si>
    <t>Sex</t>
  </si>
  <si>
    <t>Ethnicity</t>
  </si>
  <si>
    <t>Diagnoses - manual entry</t>
  </si>
  <si>
    <t>Mobiility</t>
  </si>
  <si>
    <t>Independent, full function</t>
  </si>
  <si>
    <t>Walking Aid</t>
  </si>
  <si>
    <t>Assist X1</t>
  </si>
  <si>
    <t>Assist X2</t>
  </si>
  <si>
    <t>Bed to Chair</t>
  </si>
  <si>
    <t>Bedbound</t>
  </si>
  <si>
    <t>Notable Lab Values - manual entry or connected to database</t>
  </si>
  <si>
    <t>Motor Ability</t>
  </si>
  <si>
    <t>MRI</t>
  </si>
  <si>
    <t>CT</t>
  </si>
  <si>
    <t>EEG</t>
  </si>
  <si>
    <t>PET</t>
  </si>
  <si>
    <t>Eye Opening</t>
  </si>
  <si>
    <t>Symptoms</t>
  </si>
  <si>
    <t>Hallucinations</t>
  </si>
  <si>
    <t>Pain</t>
  </si>
  <si>
    <t>Nausea</t>
  </si>
  <si>
    <t>Vommiting</t>
  </si>
  <si>
    <t>0-10 score</t>
  </si>
  <si>
    <t>Diarhea</t>
  </si>
  <si>
    <t>Constipation</t>
  </si>
  <si>
    <t>Drowsiness</t>
  </si>
  <si>
    <t>chest</t>
  </si>
  <si>
    <t>generalized</t>
  </si>
  <si>
    <t>localized</t>
  </si>
  <si>
    <t>Work of Breathing</t>
  </si>
  <si>
    <t>Coughing</t>
  </si>
  <si>
    <t>Wheezing</t>
  </si>
  <si>
    <t>Increased Secretions</t>
  </si>
  <si>
    <t>Airway Clearance Difficulty</t>
  </si>
  <si>
    <t>Incontinence of Urine</t>
  </si>
  <si>
    <t>Incontinence of Bowels</t>
  </si>
  <si>
    <t>Urinary Retention</t>
  </si>
  <si>
    <t>Spontaneous</t>
  </si>
  <si>
    <t>To Sound</t>
  </si>
  <si>
    <t>To Pressure</t>
  </si>
  <si>
    <t>None</t>
  </si>
  <si>
    <t>Verbal Response</t>
  </si>
  <si>
    <t>Oriented</t>
  </si>
  <si>
    <t>Confused</t>
  </si>
  <si>
    <t>Sounds</t>
  </si>
  <si>
    <t>Motor Response</t>
  </si>
  <si>
    <t>Obey Commands</t>
  </si>
  <si>
    <t>Move to Localised pain</t>
  </si>
  <si>
    <t>Flex to Withdraw from Pain</t>
  </si>
  <si>
    <t>Abnormal Flexion</t>
  </si>
  <si>
    <t>Abnormal Extension</t>
  </si>
  <si>
    <t>Words</t>
  </si>
  <si>
    <t>Image Study Type</t>
  </si>
  <si>
    <t>Mild</t>
  </si>
  <si>
    <t>Moderate</t>
  </si>
  <si>
    <t>Severe</t>
  </si>
  <si>
    <t>Memory</t>
  </si>
  <si>
    <t>Long Term</t>
  </si>
  <si>
    <t>Remembers past personal/historical events accurately</t>
  </si>
  <si>
    <t>Remembers past personal/historical events with some mistakes</t>
  </si>
  <si>
    <t>Confused, some accuracy</t>
  </si>
  <si>
    <t>Confused, no accuracy</t>
  </si>
  <si>
    <t>Short Term</t>
  </si>
  <si>
    <t>Remembers recent events accurately</t>
  </si>
  <si>
    <t>Remembers recent events with some mistakes</t>
  </si>
  <si>
    <t>Recall Speed</t>
  </si>
  <si>
    <t>Immediate</t>
  </si>
  <si>
    <t>Delayed</t>
  </si>
  <si>
    <t>Orientation</t>
  </si>
  <si>
    <t>Person</t>
  </si>
  <si>
    <t>Place</t>
  </si>
  <si>
    <t>Time</t>
  </si>
  <si>
    <t>Event</t>
  </si>
  <si>
    <t>Perception</t>
  </si>
  <si>
    <t>Object</t>
  </si>
  <si>
    <t>Parent</t>
  </si>
  <si>
    <t>Sibling</t>
  </si>
  <si>
    <t>Friend</t>
  </si>
  <si>
    <t>Child</t>
  </si>
  <si>
    <t>Other (input)</t>
  </si>
  <si>
    <t>Living</t>
  </si>
  <si>
    <t>Deceased</t>
  </si>
  <si>
    <t>Touching</t>
  </si>
  <si>
    <t>Standing in same room close by</t>
  </si>
  <si>
    <t>Standing in same room far away</t>
  </si>
  <si>
    <t>Other room</t>
  </si>
  <si>
    <t>Close/Touching</t>
  </si>
  <si>
    <t>Subject</t>
  </si>
  <si>
    <t>Living or Deceased</t>
  </si>
  <si>
    <t>Relationship</t>
  </si>
  <si>
    <t>Location</t>
  </si>
  <si>
    <t>Nature of Interaction</t>
  </si>
  <si>
    <t>Standing/Sitting Still</t>
  </si>
  <si>
    <t>Motioning</t>
  </si>
  <si>
    <t>Speaking</t>
  </si>
  <si>
    <t>Spiritual Experience</t>
  </si>
  <si>
    <t>Yes</t>
  </si>
  <si>
    <t>No</t>
  </si>
  <si>
    <t>Social Interaction</t>
  </si>
  <si>
    <t>Positive - loving, kind, pleasant</t>
  </si>
  <si>
    <t>Negative - upset, angry, sad, unpleasant</t>
  </si>
  <si>
    <t>Neutral</t>
  </si>
  <si>
    <t>Level of Interaction</t>
  </si>
  <si>
    <t>To stimuli</t>
  </si>
  <si>
    <t>Clear</t>
  </si>
  <si>
    <t>Unclear</t>
  </si>
  <si>
    <t>Disoriented</t>
  </si>
  <si>
    <t>Eye contact</t>
  </si>
  <si>
    <t>Duration</t>
  </si>
  <si>
    <t>Age:</t>
  </si>
  <si>
    <t>Sex:</t>
  </si>
  <si>
    <t>Ethnicity:</t>
  </si>
  <si>
    <t>Religious Affiliation:</t>
  </si>
  <si>
    <t>Diagnoses</t>
  </si>
  <si>
    <t>Mobility:</t>
  </si>
  <si>
    <t>Notable Lab Results:</t>
  </si>
  <si>
    <t>Glasgow Score:</t>
  </si>
  <si>
    <t>Memory:</t>
  </si>
  <si>
    <t>Total Memory Score</t>
  </si>
  <si>
    <t>Total Glasgow Score:</t>
  </si>
  <si>
    <t>If Object, describe:</t>
  </si>
  <si>
    <t>Living or Deceased?</t>
  </si>
  <si>
    <t>Total Stranger</t>
  </si>
  <si>
    <t>Acquantence</t>
  </si>
  <si>
    <t>Action</t>
  </si>
  <si>
    <t>Externally Perceived Experience</t>
  </si>
  <si>
    <t>Internally Perceived Experience</t>
  </si>
  <si>
    <t>Feeling of oneness, connectedness</t>
  </si>
  <si>
    <t>Feeling of forgiveness, life satisfaction, peace</t>
  </si>
  <si>
    <t>Feeling presence/connection of a higher being</t>
  </si>
  <si>
    <t>Relgion-specific figures/experiences</t>
  </si>
  <si>
    <t>Feeling of readiness to let go</t>
  </si>
  <si>
    <t>Days before death:</t>
  </si>
  <si>
    <t>Length of episode</t>
  </si>
  <si>
    <t>Narrative of Episode</t>
  </si>
  <si>
    <t>Other notes</t>
  </si>
  <si>
    <t>Episode Description</t>
  </si>
  <si>
    <t>Create Report</t>
  </si>
  <si>
    <t>View Last Report</t>
  </si>
  <si>
    <t>Home</t>
  </si>
  <si>
    <t>Description of workbook</t>
  </si>
  <si>
    <t>Create new report</t>
  </si>
  <si>
    <t>Data</t>
  </si>
  <si>
    <t>Report Number</t>
  </si>
  <si>
    <t>Age</t>
  </si>
  <si>
    <t>boo</t>
  </si>
  <si>
    <t>haha]</t>
  </si>
  <si>
    <t>boop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</si>
</sst>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C$34" lockText="1" noThreeD="1"/>
</file>

<file path=xl/ctrlProps/ctrlProp2.xml><?xml version="1.0" encoding="utf-8"?>
<formControlPr xmlns="http://schemas.microsoft.com/office/spreadsheetml/2009/9/main" objectType="CheckBox" checked="Checked" fmlaLink="$C$37" lockText="1" noThreeD="1"/>
</file>

<file path=xl/ctrlProps/ctrlProp3.xml><?xml version="1.0" encoding="utf-8"?>
<formControlPr xmlns="http://schemas.microsoft.com/office/spreadsheetml/2009/9/main" objectType="CheckBox" checked="Checked" fmlaLink="$C$36" lockText="1" noThreeD="1"/>
</file>

<file path=xl/ctrlProps/ctrlProp4.xml><?xml version="1.0" encoding="utf-8"?>
<formControlPr xmlns="http://schemas.microsoft.com/office/spreadsheetml/2009/9/main" objectType="CheckBox" fmlaLink="$C$35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$H$3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Drop" dropStyle="combo" dx="22" fmlaLink="$H$12" fmlaRange="Options!$A$119:$A$126" noThreeD="1" sel="2" val="0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Drop" dropStyle="combo" dx="22" fmlaLink="$H$16" fmlaRange="Options!$A$129:$A$144" noThreeD="1" sel="10" val="8"/>
</file>

<file path=xl/ctrlProps/ctrlProp16.xml><?xml version="1.0" encoding="utf-8"?>
<formControlPr xmlns="http://schemas.microsoft.com/office/spreadsheetml/2009/9/main" objectType="Drop" dropStyle="combo" dx="22" fmlaLink="$H$8" fmlaRange="Options!$A$6:$A$115" noThreeD="1" sel="104" val="102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Drop" dropStyle="combo" dx="22" fmlaLink="$H$45" fmlaRange="Options!$A$149:$A$154" noThreeD="1" sel="1" val="0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Style="combo" dx="22" fmlaLink="$H$49" fmlaRange="Options!$A$167:$A$170" noThreeD="1" sel="1" val="0"/>
</file>

<file path=xl/ctrlProps/ctrlProp25.xml><?xml version="1.0" encoding="utf-8"?>
<formControlPr xmlns="http://schemas.microsoft.com/office/spreadsheetml/2009/9/main" objectType="Drop" dropStyle="combo" dx="22" fmlaLink="$H$51" fmlaRange="Options!$A$173:$A$177" noThreeD="1" sel="1" val="0"/>
</file>

<file path=xl/ctrlProps/ctrlProp26.xml><?xml version="1.0" encoding="utf-8"?>
<formControlPr xmlns="http://schemas.microsoft.com/office/spreadsheetml/2009/9/main" objectType="Drop" dropStyle="combo" dx="22" fmlaLink="$H$53" fmlaRange="Options!$A$180:$A$185" noThreeD="1" sel="1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Label" lockText="1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Label" lockText="1"/>
</file>

<file path=xl/ctrlProps/ctrlProp33.xml><?xml version="1.0" encoding="utf-8"?>
<formControlPr xmlns="http://schemas.microsoft.com/office/spreadsheetml/2009/9/main" objectType="Drop" dropStyle="combo" dx="22" fmlaLink="$I$59" fmlaRange="Options!$A$211:$A$214" noThreeD="1" sel="1" val="0"/>
</file>

<file path=xl/ctrlProps/ctrlProp34.xml><?xml version="1.0" encoding="utf-8"?>
<formControlPr xmlns="http://schemas.microsoft.com/office/spreadsheetml/2009/9/main" objectType="Drop" dropStyle="combo" dx="22" fmlaLink="$I$61" fmlaRange="Options!$A$217:$A$220" noThreeD="1" sel="1" val="0"/>
</file>

<file path=xl/ctrlProps/ctrlProp35.xml><?xml version="1.0" encoding="utf-8"?>
<formControlPr xmlns="http://schemas.microsoft.com/office/spreadsheetml/2009/9/main" objectType="Drop" dropStyle="combo" dx="22" fmlaLink="$I$63" fmlaRange="Options!$A$223:$A$225" noThreeD="1" sel="1" val="0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CheckBox" fmlaLink="$I$67" lockText="1" noThreeD="1"/>
</file>

<file path=xl/ctrlProps/ctrlProp38.xml><?xml version="1.0" encoding="utf-8"?>
<formControlPr xmlns="http://schemas.microsoft.com/office/spreadsheetml/2009/9/main" objectType="CheckBox" fmlaLink="$I$68" lockText="1" noThreeD="1"/>
</file>

<file path=xl/ctrlProps/ctrlProp39.xml><?xml version="1.0" encoding="utf-8"?>
<formControlPr xmlns="http://schemas.microsoft.com/office/spreadsheetml/2009/9/main" objectType="CheckBox" fmlaLink="$I$69" lockText="1" noThreeD="1"/>
</file>

<file path=xl/ctrlProps/ctrlProp40.xml><?xml version="1.0" encoding="utf-8"?>
<formControlPr xmlns="http://schemas.microsoft.com/office/spreadsheetml/2009/9/main" objectType="CheckBox" fmlaLink="$I$70" lockText="1" noThreeD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fmlaLink="$I$22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95251</xdr:colOff>
          <xdr:row>33</xdr:row>
          <xdr:rowOff>28576</xdr:rowOff>
        </xdr:from>
        <xdr:to>
          <xdr:col>0</xdr:col>
          <xdr:colOff>876300</xdr:colOff>
          <xdr:row>33</xdr:row>
          <xdr:rowOff>171450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36</xdr:row>
          <xdr:rowOff>19050</xdr:rowOff>
        </xdr:from>
        <xdr:to>
          <xdr:col>0</xdr:col>
          <xdr:colOff>1038225</xdr:colOff>
          <xdr:row>36</xdr:row>
          <xdr:rowOff>161925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84B3BA87-99D2-E9F6-FF73-6D6095BFF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35</xdr:row>
          <xdr:rowOff>38100</xdr:rowOff>
        </xdr:from>
        <xdr:to>
          <xdr:col>0</xdr:col>
          <xdr:colOff>1038225</xdr:colOff>
          <xdr:row>35</xdr:row>
          <xdr:rowOff>161925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7B54247-A7B9-8857-6677-801002EE6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34</xdr:row>
          <xdr:rowOff>19051</xdr:rowOff>
        </xdr:from>
        <xdr:to>
          <xdr:col>0</xdr:col>
          <xdr:colOff>1038225</xdr:colOff>
          <xdr:row>34</xdr:row>
          <xdr:rowOff>161925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8EA90A8-4413-1AB9-48C7-8DFB52B2B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47</xdr:row>
          <xdr:rowOff>76200</xdr:rowOff>
        </xdr:from>
        <xdr:to>
          <xdr:col>1</xdr:col>
          <xdr:colOff>3638550</xdr:colOff>
          <xdr:row>54</xdr:row>
          <xdr:rowOff>142875</xdr:rowOff>
        </xdr:to>
        <xdr:sp macro="" textlink="">
          <xdr:nvSpPr>
            <xdr:cNvPr id="2061" name="Group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933450</xdr:colOff>
          <xdr:row>47</xdr:row>
          <xdr:rowOff>170090</xdr:rowOff>
        </xdr:from>
        <xdr:to>
          <xdr:col>1</xdr:col>
          <xdr:colOff>2347232</xdr:colOff>
          <xdr:row>49</xdr:row>
          <xdr:rowOff>122465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2066" name="Group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3</xdr:col>
          <xdr:colOff>0</xdr:colOff>
          <xdr:row>3</xdr:row>
          <xdr:rowOff>190499</xdr:rowOff>
        </xdr:to>
        <xdr:sp macro="" textlink="">
          <xdr:nvSpPr>
            <xdr:cNvPr id="7173" name="Group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356567</xdr:colOff>
          <xdr:row>1</xdr:row>
          <xdr:rowOff>155920</xdr:rowOff>
        </xdr:from>
        <xdr:to>
          <xdr:col>0</xdr:col>
          <xdr:colOff>841384</xdr:colOff>
          <xdr:row>3</xdr:row>
          <xdr:rowOff>51145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143290</xdr:colOff>
          <xdr:row>1</xdr:row>
          <xdr:rowOff>155920</xdr:rowOff>
        </xdr:from>
        <xdr:to>
          <xdr:col>2</xdr:col>
          <xdr:colOff>18507</xdr:colOff>
          <xdr:row>3</xdr:row>
          <xdr:rowOff>51145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7180" name="Group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Ethnicity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7181" name="Drop Dow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84D7722C-91DD-99E5-50C3-CA066F2AC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Religious Affiliation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7183" name="Drop Dow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CF9EE875-C4EE-EE95-2733-86796CB63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7184" name="Drop Dow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2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7185" name="Group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2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1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7187" name="Drop Dow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2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5</xdr:col>
          <xdr:colOff>1003</xdr:colOff>
          <xdr:row>36</xdr:row>
          <xdr:rowOff>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2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4</xdr:col>
          <xdr:colOff>608770</xdr:colOff>
          <xdr:row>56</xdr:row>
          <xdr:rowOff>0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2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7191" name="Label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2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</xdr:row>
          <xdr:rowOff>0</xdr:rowOff>
        </xdr:from>
        <xdr:to>
          <xdr:col>1</xdr:col>
          <xdr:colOff>1</xdr:colOff>
          <xdr:row>51</xdr:row>
          <xdr:rowOff>0</xdr:rowOff>
        </xdr:to>
        <xdr:sp macro="" textlink="">
          <xdr:nvSpPr>
            <xdr:cNvPr id="7192" name="Label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2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0</xdr:colOff>
          <xdr:row>52</xdr:row>
          <xdr:rowOff>0</xdr:rowOff>
        </xdr:from>
        <xdr:ext cx="1009650" cy="190500"/>
        <xdr:sp macro="" textlink="">
          <xdr:nvSpPr>
            <xdr:cNvPr id="7193" name="Label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2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48</xdr:row>
          <xdr:rowOff>1</xdr:rowOff>
        </xdr:from>
        <xdr:to>
          <xdr:col>4</xdr:col>
          <xdr:colOff>391925</xdr:colOff>
          <xdr:row>49</xdr:row>
          <xdr:rowOff>1</xdr:rowOff>
        </xdr:to>
        <xdr:sp macro="" textlink="">
          <xdr:nvSpPr>
            <xdr:cNvPr id="7194" name="Drop Dow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2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49</xdr:row>
          <xdr:rowOff>180975</xdr:rowOff>
        </xdr:from>
        <xdr:to>
          <xdr:col>4</xdr:col>
          <xdr:colOff>391925</xdr:colOff>
          <xdr:row>51</xdr:row>
          <xdr:rowOff>0</xdr:rowOff>
        </xdr:to>
        <xdr:sp macro="" textlink="">
          <xdr:nvSpPr>
            <xdr:cNvPr id="7195" name="Drop Dow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51</xdr:row>
          <xdr:rowOff>180975</xdr:rowOff>
        </xdr:from>
        <xdr:to>
          <xdr:col>4</xdr:col>
          <xdr:colOff>391925</xdr:colOff>
          <xdr:row>53</xdr:row>
          <xdr:rowOff>0</xdr:rowOff>
        </xdr:to>
        <xdr:sp macro="" textlink="">
          <xdr:nvSpPr>
            <xdr:cNvPr id="7196" name="Drop Dow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2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0</xdr:colOff>
          <xdr:row>54</xdr:row>
          <xdr:rowOff>0</xdr:rowOff>
        </xdr:from>
        <xdr:ext cx="1009650" cy="190500"/>
        <xdr:sp macro="" textlink="">
          <xdr:nvSpPr>
            <xdr:cNvPr id="7197" name="Label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2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4</xdr:col>
          <xdr:colOff>608770</xdr:colOff>
          <xdr:row>42</xdr:row>
          <xdr:rowOff>0</xdr:rowOff>
        </xdr:to>
        <xdr:sp macro="" textlink="">
          <xdr:nvSpPr>
            <xdr:cNvPr id="7198" name="Group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E4325508-61B0-5CC6-2013-3DAEA20BA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Diagnoses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5</xdr:col>
          <xdr:colOff>608771</xdr:colOff>
          <xdr:row>64</xdr:row>
          <xdr:rowOff>0</xdr:rowOff>
        </xdr:to>
        <xdr:sp macro="" textlink="">
          <xdr:nvSpPr>
            <xdr:cNvPr id="7199" name="Group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B4CFB1-E15E-1757-2A44-0A3497B4B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7200" name="Label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E0D3043D-E4EF-7290-49D7-7E28E2730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60</xdr:row>
          <xdr:rowOff>9525</xdr:rowOff>
        </xdr:from>
        <xdr:to>
          <xdr:col>1</xdr:col>
          <xdr:colOff>1</xdr:colOff>
          <xdr:row>61</xdr:row>
          <xdr:rowOff>9525</xdr:rowOff>
        </xdr:to>
        <xdr:sp macro="" textlink="">
          <xdr:nvSpPr>
            <xdr:cNvPr id="7201" name="Label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363DC377-3681-4F54-99F3-6875A29E0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7202" name="Label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D40715F-E66A-4693-91C3-DA1475898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3549</xdr:colOff>
          <xdr:row>58</xdr:row>
          <xdr:rowOff>0</xdr:rowOff>
        </xdr:from>
        <xdr:to>
          <xdr:col>6</xdr:col>
          <xdr:colOff>1</xdr:colOff>
          <xdr:row>59</xdr:row>
          <xdr:rowOff>0</xdr:rowOff>
        </xdr:to>
        <xdr:sp macro="" textlink="">
          <xdr:nvSpPr>
            <xdr:cNvPr id="7203" name="Drop Dow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4578B59D-F8A9-A150-2EDF-6E7898D10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3549</xdr:colOff>
          <xdr:row>59</xdr:row>
          <xdr:rowOff>180975</xdr:rowOff>
        </xdr:from>
        <xdr:to>
          <xdr:col>6</xdr:col>
          <xdr:colOff>1</xdr:colOff>
          <xdr:row>61</xdr:row>
          <xdr:rowOff>0</xdr:rowOff>
        </xdr:to>
        <xdr:sp macro="" textlink="">
          <xdr:nvSpPr>
            <xdr:cNvPr id="7204" name="Drop Dow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15B78BD6-A10F-7AB6-68E1-38C0444A7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3549</xdr:colOff>
          <xdr:row>61</xdr:row>
          <xdr:rowOff>180975</xdr:rowOff>
        </xdr:from>
        <xdr:to>
          <xdr:col>6</xdr:col>
          <xdr:colOff>1</xdr:colOff>
          <xdr:row>63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F35562F2-4C0C-5690-754A-87D8EFAFE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7206" name="Group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2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28575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2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809625</xdr:colOff>
          <xdr:row>68</xdr:row>
          <xdr:rowOff>28575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2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28575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2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28575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2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7213" name="Label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2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214" name="Group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2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181570</xdr:colOff>
          <xdr:row>20</xdr:row>
          <xdr:rowOff>28575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2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187325</xdr:rowOff>
        </xdr:from>
        <xdr:to>
          <xdr:col>1</xdr:col>
          <xdr:colOff>181570</xdr:colOff>
          <xdr:row>21</xdr:row>
          <xdr:rowOff>25400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2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184150</xdr:rowOff>
        </xdr:from>
        <xdr:to>
          <xdr:col>1</xdr:col>
          <xdr:colOff>181570</xdr:colOff>
          <xdr:row>22</xdr:row>
          <xdr:rowOff>22225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2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180975</xdr:rowOff>
        </xdr:from>
        <xdr:to>
          <xdr:col>1</xdr:col>
          <xdr:colOff>181570</xdr:colOff>
          <xdr:row>23</xdr:row>
          <xdr:rowOff>19050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2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177800</xdr:rowOff>
        </xdr:from>
        <xdr:to>
          <xdr:col>1</xdr:col>
          <xdr:colOff>181570</xdr:colOff>
          <xdr:row>24</xdr:row>
          <xdr:rowOff>15875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2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174625</xdr:rowOff>
        </xdr:from>
        <xdr:to>
          <xdr:col>1</xdr:col>
          <xdr:colOff>181570</xdr:colOff>
          <xdr:row>25</xdr:row>
          <xdr:rowOff>12700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2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171450</xdr:rowOff>
        </xdr:from>
        <xdr:to>
          <xdr:col>1</xdr:col>
          <xdr:colOff>181570</xdr:colOff>
          <xdr:row>26</xdr:row>
          <xdr:rowOff>9525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2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168275</xdr:rowOff>
        </xdr:from>
        <xdr:to>
          <xdr:col>1</xdr:col>
          <xdr:colOff>181570</xdr:colOff>
          <xdr:row>27</xdr:row>
          <xdr:rowOff>6350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2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165100</xdr:rowOff>
        </xdr:from>
        <xdr:to>
          <xdr:col>1</xdr:col>
          <xdr:colOff>181570</xdr:colOff>
          <xdr:row>28</xdr:row>
          <xdr:rowOff>3175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2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161925</xdr:rowOff>
        </xdr:from>
        <xdr:to>
          <xdr:col>1</xdr:col>
          <xdr:colOff>181570</xdr:colOff>
          <xdr:row>29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2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580429</xdr:colOff>
          <xdr:row>20</xdr:row>
          <xdr:rowOff>28575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2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187325</xdr:rowOff>
        </xdr:from>
        <xdr:to>
          <xdr:col>3</xdr:col>
          <xdr:colOff>580429</xdr:colOff>
          <xdr:row>21</xdr:row>
          <xdr:rowOff>25400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2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184150</xdr:rowOff>
        </xdr:from>
        <xdr:to>
          <xdr:col>3</xdr:col>
          <xdr:colOff>580429</xdr:colOff>
          <xdr:row>22</xdr:row>
          <xdr:rowOff>22225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2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180975</xdr:rowOff>
        </xdr:from>
        <xdr:to>
          <xdr:col>3</xdr:col>
          <xdr:colOff>580429</xdr:colOff>
          <xdr:row>23</xdr:row>
          <xdr:rowOff>19050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2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177800</xdr:rowOff>
        </xdr:from>
        <xdr:to>
          <xdr:col>3</xdr:col>
          <xdr:colOff>580429</xdr:colOff>
          <xdr:row>24</xdr:row>
          <xdr:rowOff>15875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85FB441D-D256-4AD9-01DE-EB6C0F4BD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174625</xdr:rowOff>
        </xdr:from>
        <xdr:to>
          <xdr:col>3</xdr:col>
          <xdr:colOff>580429</xdr:colOff>
          <xdr:row>25</xdr:row>
          <xdr:rowOff>12700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FE4ED4C6-1AED-D170-F901-A70AD7801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171450</xdr:rowOff>
        </xdr:from>
        <xdr:to>
          <xdr:col>3</xdr:col>
          <xdr:colOff>580429</xdr:colOff>
          <xdr:row>26</xdr:row>
          <xdr:rowOff>9525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7986BE7-370A-82B0-E00D-F226A2093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168275</xdr:rowOff>
        </xdr:from>
        <xdr:to>
          <xdr:col>3</xdr:col>
          <xdr:colOff>580429</xdr:colOff>
          <xdr:row>27</xdr:row>
          <xdr:rowOff>6350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DD736FDC-D5FB-E97D-4451-D1C5DC17C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165100</xdr:rowOff>
        </xdr:from>
        <xdr:to>
          <xdr:col>3</xdr:col>
          <xdr:colOff>580429</xdr:colOff>
          <xdr:row>28</xdr:row>
          <xdr:rowOff>3175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2E3CBC4F-40A2-7E87-21EF-40205BCA2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161925</xdr:rowOff>
        </xdr:from>
        <xdr:to>
          <xdr:col>3</xdr:col>
          <xdr:colOff>580429</xdr:colOff>
          <xdr:row>29</xdr:row>
          <xdr:rowOff>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4056B48B-53FB-0AA2-24A8-7245F463C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228004</xdr:colOff>
          <xdr:row>19</xdr:row>
          <xdr:rowOff>0</xdr:rowOff>
        </xdr:from>
        <xdr:to>
          <xdr:col>6</xdr:col>
          <xdr:colOff>198239</xdr:colOff>
          <xdr:row>20</xdr:row>
          <xdr:rowOff>28575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DF336090-5AC2-0613-3F8D-6852A2290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228004</xdr:colOff>
          <xdr:row>19</xdr:row>
          <xdr:rowOff>185737</xdr:rowOff>
        </xdr:from>
        <xdr:to>
          <xdr:col>6</xdr:col>
          <xdr:colOff>198239</xdr:colOff>
          <xdr:row>21</xdr:row>
          <xdr:rowOff>23812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D600DB80-833D-1BD2-09C4-1E939EE2B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228004</xdr:colOff>
          <xdr:row>20</xdr:row>
          <xdr:rowOff>180974</xdr:rowOff>
        </xdr:from>
        <xdr:to>
          <xdr:col>6</xdr:col>
          <xdr:colOff>198239</xdr:colOff>
          <xdr:row>22</xdr:row>
          <xdr:rowOff>19049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408CA83B-2C16-CD17-C19D-FBD47F478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228004</xdr:colOff>
          <xdr:row>21</xdr:row>
          <xdr:rowOff>176211</xdr:rowOff>
        </xdr:from>
        <xdr:to>
          <xdr:col>6</xdr:col>
          <xdr:colOff>198239</xdr:colOff>
          <xdr:row>23</xdr:row>
          <xdr:rowOff>14286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C9DA9EAC-1F61-F500-CB16-1BDB5B8F3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228004</xdr:colOff>
          <xdr:row>22</xdr:row>
          <xdr:rowOff>171449</xdr:rowOff>
        </xdr:from>
        <xdr:to>
          <xdr:col>6</xdr:col>
          <xdr:colOff>198239</xdr:colOff>
          <xdr:row>24</xdr:row>
          <xdr:rowOff>9524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3D1FD6AB-F4A5-D8A5-68DF-959381588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228004</xdr:colOff>
          <xdr:row>23</xdr:row>
          <xdr:rowOff>166687</xdr:rowOff>
        </xdr:from>
        <xdr:to>
          <xdr:col>6</xdr:col>
          <xdr:colOff>198239</xdr:colOff>
          <xdr:row>25</xdr:row>
          <xdr:rowOff>4762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C840B25B-4845-7F23-FF18-97D8AEFCC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228004</xdr:colOff>
          <xdr:row>24</xdr:row>
          <xdr:rowOff>161925</xdr:rowOff>
        </xdr:from>
        <xdr:to>
          <xdr:col>6</xdr:col>
          <xdr:colOff>198239</xdr:colOff>
          <xdr:row>26</xdr:row>
          <xdr:rowOff>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1DCF33C8-D4F3-F811-C540-2CD6FB21C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4</xdr:row>
          <xdr:rowOff>180975</xdr:rowOff>
        </xdr:from>
        <xdr:to>
          <xdr:col>6</xdr:col>
          <xdr:colOff>504825</xdr:colOff>
          <xdr:row>9</xdr:row>
          <xdr:rowOff>123825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547687</xdr:colOff>
          <xdr:row>12</xdr:row>
          <xdr:rowOff>28575</xdr:rowOff>
        </xdr:from>
        <xdr:to>
          <xdr:col>6</xdr:col>
          <xdr:colOff>347662</xdr:colOff>
          <xdr:row>14</xdr:row>
          <xdr:rowOff>123825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0.xml"/><Relationship Id="rId21" Type="http://schemas.openxmlformats.org/officeDocument/2006/relationships/ctrlProp" Target="../ctrlProps/ctrlProp25.xml"/><Relationship Id="rId34" Type="http://schemas.openxmlformats.org/officeDocument/2006/relationships/ctrlProp" Target="../ctrlProps/ctrlProp38.xml"/><Relationship Id="rId42" Type="http://schemas.openxmlformats.org/officeDocument/2006/relationships/ctrlProp" Target="../ctrlProps/ctrlProp46.xml"/><Relationship Id="rId47" Type="http://schemas.openxmlformats.org/officeDocument/2006/relationships/ctrlProp" Target="../ctrlProps/ctrlProp51.xml"/><Relationship Id="rId50" Type="http://schemas.openxmlformats.org/officeDocument/2006/relationships/ctrlProp" Target="../ctrlProps/ctrlProp54.xml"/><Relationship Id="rId55" Type="http://schemas.openxmlformats.org/officeDocument/2006/relationships/ctrlProp" Target="../ctrlProps/ctrlProp59.xml"/><Relationship Id="rId63" Type="http://schemas.openxmlformats.org/officeDocument/2006/relationships/ctrlProp" Target="../ctrlProps/ctrlProp67.x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0.xml"/><Relationship Id="rId29" Type="http://schemas.openxmlformats.org/officeDocument/2006/relationships/ctrlProp" Target="../ctrlProps/ctrlProp33.xml"/><Relationship Id="rId11" Type="http://schemas.openxmlformats.org/officeDocument/2006/relationships/ctrlProp" Target="../ctrlProps/ctrlProp15.xml"/><Relationship Id="rId24" Type="http://schemas.openxmlformats.org/officeDocument/2006/relationships/ctrlProp" Target="../ctrlProps/ctrlProp28.xml"/><Relationship Id="rId32" Type="http://schemas.openxmlformats.org/officeDocument/2006/relationships/ctrlProp" Target="../ctrlProps/ctrlProp36.xml"/><Relationship Id="rId37" Type="http://schemas.openxmlformats.org/officeDocument/2006/relationships/ctrlProp" Target="../ctrlProps/ctrlProp41.xml"/><Relationship Id="rId40" Type="http://schemas.openxmlformats.org/officeDocument/2006/relationships/ctrlProp" Target="../ctrlProps/ctrlProp44.xml"/><Relationship Id="rId45" Type="http://schemas.openxmlformats.org/officeDocument/2006/relationships/ctrlProp" Target="../ctrlProps/ctrlProp49.xml"/><Relationship Id="rId53" Type="http://schemas.openxmlformats.org/officeDocument/2006/relationships/ctrlProp" Target="../ctrlProps/ctrlProp57.xml"/><Relationship Id="rId58" Type="http://schemas.openxmlformats.org/officeDocument/2006/relationships/ctrlProp" Target="../ctrlProps/ctrlProp62.xml"/><Relationship Id="rId5" Type="http://schemas.openxmlformats.org/officeDocument/2006/relationships/ctrlProp" Target="../ctrlProps/ctrlProp9.xml"/><Relationship Id="rId61" Type="http://schemas.openxmlformats.org/officeDocument/2006/relationships/ctrlProp" Target="../ctrlProps/ctrlProp65.xml"/><Relationship Id="rId19" Type="http://schemas.openxmlformats.org/officeDocument/2006/relationships/ctrlProp" Target="../ctrlProps/ctrlProp23.xml"/><Relationship Id="rId14" Type="http://schemas.openxmlformats.org/officeDocument/2006/relationships/ctrlProp" Target="../ctrlProps/ctrlProp18.xml"/><Relationship Id="rId22" Type="http://schemas.openxmlformats.org/officeDocument/2006/relationships/ctrlProp" Target="../ctrlProps/ctrlProp26.xml"/><Relationship Id="rId27" Type="http://schemas.openxmlformats.org/officeDocument/2006/relationships/ctrlProp" Target="../ctrlProps/ctrlProp31.xml"/><Relationship Id="rId30" Type="http://schemas.openxmlformats.org/officeDocument/2006/relationships/ctrlProp" Target="../ctrlProps/ctrlProp34.xml"/><Relationship Id="rId35" Type="http://schemas.openxmlformats.org/officeDocument/2006/relationships/ctrlProp" Target="../ctrlProps/ctrlProp39.xml"/><Relationship Id="rId43" Type="http://schemas.openxmlformats.org/officeDocument/2006/relationships/ctrlProp" Target="../ctrlProps/ctrlProp47.xml"/><Relationship Id="rId48" Type="http://schemas.openxmlformats.org/officeDocument/2006/relationships/ctrlProp" Target="../ctrlProps/ctrlProp52.xml"/><Relationship Id="rId56" Type="http://schemas.openxmlformats.org/officeDocument/2006/relationships/ctrlProp" Target="../ctrlProps/ctrlProp60.xml"/><Relationship Id="rId64" Type="http://schemas.openxmlformats.org/officeDocument/2006/relationships/ctrlProp" Target="../ctrlProps/ctrlProp68.xml"/><Relationship Id="rId8" Type="http://schemas.openxmlformats.org/officeDocument/2006/relationships/ctrlProp" Target="../ctrlProps/ctrlProp12.xml"/><Relationship Id="rId51" Type="http://schemas.openxmlformats.org/officeDocument/2006/relationships/ctrlProp" Target="../ctrlProps/ctrlProp55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5" Type="http://schemas.openxmlformats.org/officeDocument/2006/relationships/ctrlProp" Target="../ctrlProps/ctrlProp29.xml"/><Relationship Id="rId33" Type="http://schemas.openxmlformats.org/officeDocument/2006/relationships/ctrlProp" Target="../ctrlProps/ctrlProp37.xml"/><Relationship Id="rId38" Type="http://schemas.openxmlformats.org/officeDocument/2006/relationships/ctrlProp" Target="../ctrlProps/ctrlProp42.xml"/><Relationship Id="rId46" Type="http://schemas.openxmlformats.org/officeDocument/2006/relationships/ctrlProp" Target="../ctrlProps/ctrlProp50.xml"/><Relationship Id="rId59" Type="http://schemas.openxmlformats.org/officeDocument/2006/relationships/ctrlProp" Target="../ctrlProps/ctrlProp63.xml"/><Relationship Id="rId20" Type="http://schemas.openxmlformats.org/officeDocument/2006/relationships/ctrlProp" Target="../ctrlProps/ctrlProp24.xml"/><Relationship Id="rId41" Type="http://schemas.openxmlformats.org/officeDocument/2006/relationships/ctrlProp" Target="../ctrlProps/ctrlProp45.xml"/><Relationship Id="rId54" Type="http://schemas.openxmlformats.org/officeDocument/2006/relationships/ctrlProp" Target="../ctrlProps/ctrlProp58.xml"/><Relationship Id="rId62" Type="http://schemas.openxmlformats.org/officeDocument/2006/relationships/ctrlProp" Target="../ctrlProps/ctrlProp6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5" Type="http://schemas.openxmlformats.org/officeDocument/2006/relationships/ctrlProp" Target="../ctrlProps/ctrlProp19.xml"/><Relationship Id="rId23" Type="http://schemas.openxmlformats.org/officeDocument/2006/relationships/ctrlProp" Target="../ctrlProps/ctrlProp27.xml"/><Relationship Id="rId28" Type="http://schemas.openxmlformats.org/officeDocument/2006/relationships/ctrlProp" Target="../ctrlProps/ctrlProp32.xml"/><Relationship Id="rId36" Type="http://schemas.openxmlformats.org/officeDocument/2006/relationships/ctrlProp" Target="../ctrlProps/ctrlProp40.xml"/><Relationship Id="rId49" Type="http://schemas.openxmlformats.org/officeDocument/2006/relationships/ctrlProp" Target="../ctrlProps/ctrlProp53.xml"/><Relationship Id="rId57" Type="http://schemas.openxmlformats.org/officeDocument/2006/relationships/ctrlProp" Target="../ctrlProps/ctrlProp61.xml"/><Relationship Id="rId10" Type="http://schemas.openxmlformats.org/officeDocument/2006/relationships/ctrlProp" Target="../ctrlProps/ctrlProp14.xml"/><Relationship Id="rId31" Type="http://schemas.openxmlformats.org/officeDocument/2006/relationships/ctrlProp" Target="../ctrlProps/ctrlProp35.xml"/><Relationship Id="rId44" Type="http://schemas.openxmlformats.org/officeDocument/2006/relationships/ctrlProp" Target="../ctrlProps/ctrlProp48.xml"/><Relationship Id="rId52" Type="http://schemas.openxmlformats.org/officeDocument/2006/relationships/ctrlProp" Target="../ctrlProps/ctrlProp56.xml"/><Relationship Id="rId60" Type="http://schemas.openxmlformats.org/officeDocument/2006/relationships/ctrlProp" Target="../ctrlProps/ctrlProp64.xml"/><Relationship Id="rId65" Type="http://schemas.openxmlformats.org/officeDocument/2006/relationships/ctrlProp" Target="../ctrlProps/ctrlProp6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9" Type="http://schemas.openxmlformats.org/officeDocument/2006/relationships/ctrlProp" Target="../ctrlProps/ctrlProp4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1DEBE-64B4-4D56-AFB0-FA57AC008A4A}">
  <sheetPr codeName="Sheet4"/>
  <dimension ref="A1:A3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166</v>
      </c>
    </row>
    <row r="2" spans="1:1" x14ac:dyDescent="0.25">
      <c r="A2" t="s">
        <v>167</v>
      </c>
    </row>
    <row r="3" spans="1:1" x14ac:dyDescent="0.25">
      <c r="A3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72F5-4A3C-4FC0-8DF7-AA260C457306}">
  <sheetPr codeName="Sheet1"/>
  <dimension ref="A2:F64"/>
  <sheetViews>
    <sheetView zoomScale="70" zoomScaleNormal="70" workbookViewId="0">
      <selection activeCell="A23" sqref="A23"/>
    </sheetView>
  </sheetViews>
  <sheetFormatPr defaultRowHeight="15" x14ac:dyDescent="0.25"/>
  <cols>
    <col min="1" max="1" width="43.28515625" bestFit="1" customWidth="1"/>
    <col min="2" max="2" width="59.140625" bestFit="1" customWidth="1"/>
    <col min="3" max="3" width="9.7109375" bestFit="1" customWidth="1"/>
  </cols>
  <sheetData>
    <row r="2" spans="1:3" x14ac:dyDescent="0.25">
      <c r="A2" s="2" t="s">
        <v>136</v>
      </c>
      <c r="B2" t="s">
        <v>0</v>
      </c>
    </row>
    <row r="3" spans="1:3" x14ac:dyDescent="0.25">
      <c r="A3" s="2"/>
    </row>
    <row r="4" spans="1:3" x14ac:dyDescent="0.25">
      <c r="A4" s="2"/>
    </row>
    <row r="7" spans="1:3" x14ac:dyDescent="0.25">
      <c r="A7" s="2" t="s">
        <v>135</v>
      </c>
    </row>
    <row r="9" spans="1:3" x14ac:dyDescent="0.25">
      <c r="A9" s="2" t="s">
        <v>137</v>
      </c>
      <c r="B9" t="s">
        <v>4</v>
      </c>
    </row>
    <row r="11" spans="1:3" x14ac:dyDescent="0.25">
      <c r="A11" s="2" t="s">
        <v>138</v>
      </c>
      <c r="B11" t="s">
        <v>22</v>
      </c>
    </row>
    <row r="13" spans="1:3" x14ac:dyDescent="0.25">
      <c r="A13" s="2" t="s">
        <v>139</v>
      </c>
    </row>
    <row r="15" spans="1:3" x14ac:dyDescent="0.25">
      <c r="A15" s="2" t="s">
        <v>140</v>
      </c>
      <c r="B15" t="s">
        <v>31</v>
      </c>
      <c r="C15">
        <f>VLOOKUP(B15,Options!A149:B154,2,FALSE)</f>
        <v>5</v>
      </c>
    </row>
    <row r="17" spans="1:3" x14ac:dyDescent="0.25">
      <c r="A17" s="2" t="s">
        <v>141</v>
      </c>
    </row>
    <row r="19" spans="1:3" x14ac:dyDescent="0.25">
      <c r="A19" s="2" t="s">
        <v>142</v>
      </c>
    </row>
    <row r="20" spans="1:3" x14ac:dyDescent="0.25">
      <c r="A20" t="s">
        <v>42</v>
      </c>
      <c r="B20" t="s">
        <v>63</v>
      </c>
      <c r="C20">
        <f>VLOOKUP(B20,Options!$A$167:$B$170,2,FALSE)</f>
        <v>4</v>
      </c>
    </row>
    <row r="21" spans="1:3" x14ac:dyDescent="0.25">
      <c r="A21" t="s">
        <v>67</v>
      </c>
      <c r="B21" t="s">
        <v>69</v>
      </c>
      <c r="C21">
        <f>VLOOKUP(B21,Options!$A$173:$B$177,2,FALSE)</f>
        <v>4</v>
      </c>
    </row>
    <row r="22" spans="1:3" x14ac:dyDescent="0.25">
      <c r="A22" t="s">
        <v>71</v>
      </c>
      <c r="B22" t="s">
        <v>76</v>
      </c>
      <c r="C22">
        <f>VLOOKUP(B22,Options!$A$180:$B$185,2,FALSE)</f>
        <v>2</v>
      </c>
    </row>
    <row r="24" spans="1:3" x14ac:dyDescent="0.25">
      <c r="A24" t="s">
        <v>145</v>
      </c>
      <c r="B24">
        <f>SUM(C20:C22)</f>
        <v>10</v>
      </c>
      <c r="C24" t="str">
        <f>IF(B24&gt;=Options!$A$187,Options!$B$187,IF('Front End'!B24&gt;=Options!$A$188,Options!$B$188,Options!$B$189))</f>
        <v>Moderate</v>
      </c>
    </row>
    <row r="26" spans="1:3" x14ac:dyDescent="0.25">
      <c r="A26" s="2" t="s">
        <v>143</v>
      </c>
    </row>
    <row r="27" spans="1:3" x14ac:dyDescent="0.25">
      <c r="A27" t="s">
        <v>83</v>
      </c>
      <c r="B27" t="s">
        <v>85</v>
      </c>
      <c r="C27">
        <f>VLOOKUP(B27,Options!A211:B214,2,FALSE)</f>
        <v>3</v>
      </c>
    </row>
    <row r="28" spans="1:3" x14ac:dyDescent="0.25">
      <c r="A28" t="s">
        <v>88</v>
      </c>
      <c r="B28" t="s">
        <v>89</v>
      </c>
      <c r="C28">
        <f>VLOOKUP(B28,Options!A217:B220,2,FALSE)</f>
        <v>4</v>
      </c>
    </row>
    <row r="29" spans="1:3" x14ac:dyDescent="0.25">
      <c r="A29" t="s">
        <v>91</v>
      </c>
      <c r="B29" t="s">
        <v>93</v>
      </c>
      <c r="C29">
        <f>VLOOKUP(B29,Options!A223:B225,2,FALSE)</f>
        <v>2</v>
      </c>
    </row>
    <row r="31" spans="1:3" x14ac:dyDescent="0.25">
      <c r="A31" t="s">
        <v>144</v>
      </c>
      <c r="B31">
        <f>SUM(C27:C29)</f>
        <v>9</v>
      </c>
    </row>
    <row r="33" spans="1:3" x14ac:dyDescent="0.25">
      <c r="A33" s="2" t="s">
        <v>94</v>
      </c>
      <c r="B33">
        <f>COUNTIF(C34:C37,TRUE)</f>
        <v>2</v>
      </c>
    </row>
    <row r="34" spans="1:3" x14ac:dyDescent="0.25">
      <c r="B34" t="s">
        <v>95</v>
      </c>
      <c r="C34" t="b">
        <v>0</v>
      </c>
    </row>
    <row r="35" spans="1:3" x14ac:dyDescent="0.25">
      <c r="B35" t="s">
        <v>96</v>
      </c>
      <c r="C35" t="b">
        <v>0</v>
      </c>
    </row>
    <row r="36" spans="1:3" x14ac:dyDescent="0.25">
      <c r="B36" t="s">
        <v>97</v>
      </c>
      <c r="C36" t="b">
        <v>1</v>
      </c>
    </row>
    <row r="37" spans="1:3" x14ac:dyDescent="0.25">
      <c r="B37" t="s">
        <v>98</v>
      </c>
      <c r="C37" t="b">
        <v>1</v>
      </c>
    </row>
    <row r="39" spans="1:3" x14ac:dyDescent="0.25">
      <c r="A39" s="2" t="s">
        <v>151</v>
      </c>
    </row>
    <row r="40" spans="1:3" x14ac:dyDescent="0.25">
      <c r="A40" t="s">
        <v>113</v>
      </c>
    </row>
    <row r="41" spans="1:3" x14ac:dyDescent="0.25">
      <c r="A41" t="s">
        <v>146</v>
      </c>
    </row>
    <row r="42" spans="1:3" x14ac:dyDescent="0.25">
      <c r="A42" t="s">
        <v>115</v>
      </c>
    </row>
    <row r="43" spans="1:3" x14ac:dyDescent="0.25">
      <c r="A43" t="s">
        <v>147</v>
      </c>
    </row>
    <row r="44" spans="1:3" x14ac:dyDescent="0.25">
      <c r="A44" t="s">
        <v>116</v>
      </c>
    </row>
    <row r="45" spans="1:3" x14ac:dyDescent="0.25">
      <c r="A45" t="s">
        <v>150</v>
      </c>
    </row>
    <row r="46" spans="1:3" x14ac:dyDescent="0.25">
      <c r="A46" t="s">
        <v>124</v>
      </c>
    </row>
    <row r="47" spans="1:3" x14ac:dyDescent="0.25">
      <c r="A47" t="s">
        <v>128</v>
      </c>
    </row>
    <row r="49" spans="1:6" x14ac:dyDescent="0.25">
      <c r="A49" s="4" t="s">
        <v>152</v>
      </c>
    </row>
    <row r="50" spans="1:6" x14ac:dyDescent="0.25">
      <c r="A50" t="s">
        <v>153</v>
      </c>
    </row>
    <row r="51" spans="1:6" x14ac:dyDescent="0.25">
      <c r="A51" t="s">
        <v>154</v>
      </c>
    </row>
    <row r="52" spans="1:6" x14ac:dyDescent="0.25">
      <c r="A52" t="s">
        <v>155</v>
      </c>
    </row>
    <row r="53" spans="1:6" x14ac:dyDescent="0.25">
      <c r="A53" t="s">
        <v>156</v>
      </c>
    </row>
    <row r="54" spans="1:6" x14ac:dyDescent="0.25">
      <c r="A54" t="s">
        <v>157</v>
      </c>
    </row>
    <row r="56" spans="1:6" x14ac:dyDescent="0.25">
      <c r="A56" s="4" t="s">
        <v>162</v>
      </c>
    </row>
    <row r="57" spans="1:6" x14ac:dyDescent="0.25">
      <c r="A57" t="s">
        <v>158</v>
      </c>
    </row>
    <row r="58" spans="1:6" x14ac:dyDescent="0.25">
      <c r="A58" t="s">
        <v>159</v>
      </c>
    </row>
    <row r="59" spans="1:6" x14ac:dyDescent="0.25">
      <c r="A59" t="s">
        <v>160</v>
      </c>
    </row>
    <row r="60" spans="1:6" x14ac:dyDescent="0.25">
      <c r="A60" t="s">
        <v>161</v>
      </c>
    </row>
    <row r="64" spans="1:6" x14ac:dyDescent="0.25">
      <c r="A64" t="s">
        <v>163</v>
      </c>
      <c r="C64" t="s">
        <v>164</v>
      </c>
      <c r="F64" t="s">
        <v>165</v>
      </c>
    </row>
  </sheetData>
  <dataValidations disablePrompts="1" count="1">
    <dataValidation type="whole" allowBlank="1" showInputMessage="1" showErrorMessage="1" error="Enter age value between 0-110" sqref="B7" xr:uid="{7D8198C3-7B4C-461D-8F5B-716717AB3C84}">
      <formula1>0</formula1>
      <formula2>110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95250</xdr:colOff>
                    <xdr:row>33</xdr:row>
                    <xdr:rowOff>28575</xdr:rowOff>
                  </from>
                  <to>
                    <xdr:col>0</xdr:col>
                    <xdr:colOff>876300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 altText="Event">
                <anchor moveWithCells="1">
                  <from>
                    <xdr:col>0</xdr:col>
                    <xdr:colOff>95250</xdr:colOff>
                    <xdr:row>36</xdr:row>
                    <xdr:rowOff>19050</xdr:rowOff>
                  </from>
                  <to>
                    <xdr:col>0</xdr:col>
                    <xdr:colOff>1038225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 altText="Time">
                <anchor moveWithCells="1">
                  <from>
                    <xdr:col>0</xdr:col>
                    <xdr:colOff>95250</xdr:colOff>
                    <xdr:row>35</xdr:row>
                    <xdr:rowOff>38100</xdr:rowOff>
                  </from>
                  <to>
                    <xdr:col>0</xdr:col>
                    <xdr:colOff>1038225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 altText="Place">
                <anchor moveWithCells="1">
                  <from>
                    <xdr:col>0</xdr:col>
                    <xdr:colOff>95250</xdr:colOff>
                    <xdr:row>34</xdr:row>
                    <xdr:rowOff>19050</xdr:rowOff>
                  </from>
                  <to>
                    <xdr:col>0</xdr:col>
                    <xdr:colOff>1038225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Group Box 13">
              <controlPr defaultSize="0" autoFill="0" autoPict="0">
                <anchor moveWithCells="1">
                  <from>
                    <xdr:col>1</xdr:col>
                    <xdr:colOff>857250</xdr:colOff>
                    <xdr:row>47</xdr:row>
                    <xdr:rowOff>76200</xdr:rowOff>
                  </from>
                  <to>
                    <xdr:col>1</xdr:col>
                    <xdr:colOff>3638550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Check Box 14">
              <controlPr defaultSize="0" autoFill="0" autoLine="0" autoPict="0">
                <anchor moveWithCells="1">
                  <from>
                    <xdr:col>1</xdr:col>
                    <xdr:colOff>933450</xdr:colOff>
                    <xdr:row>47</xdr:row>
                    <xdr:rowOff>171450</xdr:rowOff>
                  </from>
                  <to>
                    <xdr:col>1</xdr:col>
                    <xdr:colOff>2343150</xdr:colOff>
                    <xdr:row>49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Group Box 18">
              <controlPr defaultSize="0" autoFill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7">
        <x14:dataValidation type="list" allowBlank="1" showInputMessage="1" showErrorMessage="1" xr:uid="{46BC99C7-397A-4DEC-B535-9D44921D3E82}">
          <x14:formula1>
            <xm:f>Options!$A$119:$A$126</xm:f>
          </x14:formula1>
          <xm:sqref>B9</xm:sqref>
        </x14:dataValidation>
        <x14:dataValidation type="list" allowBlank="1" showInputMessage="1" showErrorMessage="1" xr:uid="{DDEFF1B3-BC25-4137-A33D-12D6AB070ABC}">
          <x14:formula1>
            <xm:f>Options!$A$129:$A$144</xm:f>
          </x14:formula1>
          <xm:sqref>B11</xm:sqref>
        </x14:dataValidation>
        <x14:dataValidation type="list" allowBlank="1" showInputMessage="1" showErrorMessage="1" xr:uid="{5BAFEB60-0B81-479D-919A-13FC30094CA4}">
          <x14:formula1>
            <xm:f>Options!$A$149:$A$154</xm:f>
          </x14:formula1>
          <xm:sqref>B15</xm:sqref>
        </x14:dataValidation>
        <x14:dataValidation type="list" allowBlank="1" showInputMessage="1" showErrorMessage="1" xr:uid="{D49EDA94-67E1-41C3-8B26-9EB022A3D05B}">
          <x14:formula1>
            <xm:f>Options!$A$167:$A$170</xm:f>
          </x14:formula1>
          <xm:sqref>B20</xm:sqref>
        </x14:dataValidation>
        <x14:dataValidation type="list" allowBlank="1" showInputMessage="1" showErrorMessage="1" xr:uid="{6BA7C837-00FC-46D4-8F8A-791BCDA22745}">
          <x14:formula1>
            <xm:f>Options!$A$173:$A$177</xm:f>
          </x14:formula1>
          <xm:sqref>B21</xm:sqref>
        </x14:dataValidation>
        <x14:dataValidation type="list" allowBlank="1" showInputMessage="1" showErrorMessage="1" xr:uid="{E13F7D86-96C9-488B-A60D-EBA0DD3CB7DD}">
          <x14:formula1>
            <xm:f>Options!$A$180:$A$185</xm:f>
          </x14:formula1>
          <xm:sqref>B22</xm:sqref>
        </x14:dataValidation>
        <x14:dataValidation type="list" allowBlank="1" showInputMessage="1" showErrorMessage="1" xr:uid="{2D085951-7AD1-445D-8462-D0BF45163960}">
          <x14:formula1>
            <xm:f>Options!$A$211:$A$214</xm:f>
          </x14:formula1>
          <xm:sqref>B27</xm:sqref>
        </x14:dataValidation>
        <x14:dataValidation type="list" allowBlank="1" showInputMessage="1" showErrorMessage="1" xr:uid="{906A9DB0-ED7B-47E5-867D-A2534CD2CC1A}">
          <x14:formula1>
            <xm:f>Options!$A$217:$A$220</xm:f>
          </x14:formula1>
          <xm:sqref>B28</xm:sqref>
        </x14:dataValidation>
        <x14:dataValidation type="list" allowBlank="1" showInputMessage="1" showErrorMessage="1" xr:uid="{A4B4B950-B62F-4907-8B37-5A3506440998}">
          <x14:formula1>
            <xm:f>Options!$A$223:$A$225</xm:f>
          </x14:formula1>
          <xm:sqref>B29</xm:sqref>
        </x14:dataValidation>
        <x14:dataValidation type="list" allowBlank="1" showInputMessage="1" showErrorMessage="1" xr:uid="{337CBBFA-2FEF-41C2-A4FA-FDFB80DC1FF9}">
          <x14:formula1>
            <xm:f>Options!$A$235:$A$237</xm:f>
          </x14:formula1>
          <xm:sqref>B40</xm:sqref>
        </x14:dataValidation>
        <x14:dataValidation type="list" allowBlank="1" showInputMessage="1" showErrorMessage="1" xr:uid="{2729E478-AF5B-437B-87EB-DE8FCB9DB7FA}">
          <x14:formula1>
            <xm:f>Options!$A$239:$A$240</xm:f>
          </x14:formula1>
          <xm:sqref>B43</xm:sqref>
        </x14:dataValidation>
        <x14:dataValidation type="list" allowBlank="1" showInputMessage="1" showErrorMessage="1" xr:uid="{BF591681-77DF-407D-A66F-334BC4E0A0FB}">
          <x14:formula1>
            <xm:f>Options!$A$242:$A$248</xm:f>
          </x14:formula1>
          <xm:sqref>B42</xm:sqref>
        </x14:dataValidation>
        <x14:dataValidation type="list" allowBlank="1" showInputMessage="1" showErrorMessage="1" xr:uid="{028A2D27-7CBC-4A75-B756-E1D86FA838D1}">
          <x14:formula1>
            <xm:f>Options!$A$250:$A$253</xm:f>
          </x14:formula1>
          <xm:sqref>B44</xm:sqref>
        </x14:dataValidation>
        <x14:dataValidation type="list" allowBlank="1" showInputMessage="1" showErrorMessage="1" xr:uid="{0EFC3C0F-706E-434A-B064-EB498E27F8E0}">
          <x14:formula1>
            <xm:f>Options!$A$255:$A$258</xm:f>
          </x14:formula1>
          <xm:sqref>B45</xm:sqref>
        </x14:dataValidation>
        <x14:dataValidation type="list" allowBlank="1" showInputMessage="1" showErrorMessage="1" xr:uid="{56A6686C-EF56-473C-BEED-CD3CC05A07DF}">
          <x14:formula1>
            <xm:f>Options!$A$260:$A$263</xm:f>
          </x14:formula1>
          <xm:sqref>B46</xm:sqref>
        </x14:dataValidation>
        <x14:dataValidation type="list" allowBlank="1" showInputMessage="1" showErrorMessage="1" xr:uid="{E470985E-0C67-4BA1-9C95-8CFBD9767E35}">
          <x14:formula1>
            <xm:f>Options!$A$265:$A$271</xm:f>
          </x14:formula1>
          <xm:sqref>B47</xm:sqref>
        </x14:dataValidation>
        <x14:dataValidation type="list" allowBlank="1" showInputMessage="1" showErrorMessage="1" xr:uid="{8E732014-F0A3-48C7-8C45-326F807FF74E}">
          <x14:formula1>
            <xm:f>Options!$A$2:$A$3</xm:f>
          </x14:formula1>
          <xm:sqref>B2:B4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51153-7182-4CC6-A17F-1C6A9404E815}">
  <sheetPr codeName="Sheet6"/>
  <dimension ref="B3:J72"/>
  <sheetViews>
    <sheetView tabSelected="1" topLeftCell="A10" zoomScale="70" zoomScaleNormal="70" workbookViewId="0">
      <selection activeCell="I41" sqref="I41"/>
    </sheetView>
  </sheetViews>
  <sheetFormatPr defaultRowHeight="15" x14ac:dyDescent="0.25"/>
  <cols>
    <col min="1" max="1" width="15.140625" customWidth="1"/>
    <col min="3" max="4" width="9.140625" customWidth="1"/>
    <col min="9" max="9" width="23.85546875" style="6" bestFit="1" customWidth="1"/>
  </cols>
  <sheetData>
    <row r="3" spans="8:9" x14ac:dyDescent="0.25">
      <c r="H3">
        <v>1</v>
      </c>
      <c r="I3" s="6" t="str" cm="1">
        <f t="array" ref="I3">INDEX(Options!A2:A3,'VBA Test'!H3)</f>
        <v>Male</v>
      </c>
    </row>
    <row r="8" spans="8:9" x14ac:dyDescent="0.25">
      <c r="H8">
        <v>104</v>
      </c>
      <c r="I8" s="6">
        <f>H8</f>
        <v>104</v>
      </c>
    </row>
    <row r="12" spans="8:9" x14ac:dyDescent="0.25">
      <c r="H12">
        <v>2</v>
      </c>
      <c r="I12" s="6" t="str" cm="1">
        <f t="array" ref="I12">INDEX(Options!A119:A126,'VBA Test'!H12)</f>
        <v>American Indian or Alaska Native</v>
      </c>
    </row>
    <row r="16" spans="8:9" x14ac:dyDescent="0.25">
      <c r="H16">
        <v>10</v>
      </c>
      <c r="I16" s="6" t="str" cm="1">
        <f t="array" ref="I16">INDEX(Options!A129:A144,'VBA Test'!H16)</f>
        <v>Muslim</v>
      </c>
    </row>
    <row r="43" spans="2:9" x14ac:dyDescent="0.25">
      <c r="B43">
        <f>SUM(J49,J51,J54)</f>
        <v>15</v>
      </c>
      <c r="C43" s="5" t="str">
        <f>IF(B43&gt;=Options!$A$187,Options!$B$187,IF(B43&gt;=Options!$A$188,Options!$B$188,Options!$B$189))</f>
        <v>Mild</v>
      </c>
    </row>
    <row r="45" spans="2:9" x14ac:dyDescent="0.25">
      <c r="H45">
        <v>1</v>
      </c>
      <c r="I45" s="6" t="str" cm="1">
        <f t="array" ref="I45">INDEX(Options!A149:A154,'VBA Test'!H45)</f>
        <v>Independent, full function</v>
      </c>
    </row>
    <row r="49" spans="2:10" x14ac:dyDescent="0.25">
      <c r="H49">
        <v>1</v>
      </c>
      <c r="I49" s="6" t="str" cm="1">
        <f t="array" ref="I49">INDEX(Options!A167:A170,'VBA Test'!H49)</f>
        <v>Spontaneous</v>
      </c>
      <c r="J49" s="6">
        <f>VLOOKUP(I49,Options!$A$167:$B$170,2,FALSE)</f>
        <v>4</v>
      </c>
    </row>
    <row r="51" spans="2:10" x14ac:dyDescent="0.25">
      <c r="H51">
        <v>1</v>
      </c>
      <c r="I51" s="6" t="str" cm="1">
        <f t="array" ref="I51">INDEX(Options!A173:A177,'VBA Test'!H51)</f>
        <v>Oriented</v>
      </c>
      <c r="J51" s="6">
        <f>VLOOKUP(I51,Options!$A$173:$B$177,2,FALSE)</f>
        <v>5</v>
      </c>
    </row>
    <row r="53" spans="2:10" x14ac:dyDescent="0.25">
      <c r="H53">
        <v>1</v>
      </c>
      <c r="I53" s="6" t="str" cm="1">
        <f t="array" ref="I53">INDEX(Options!A180:A185,'VBA Test'!H53)</f>
        <v>Obey Commands</v>
      </c>
    </row>
    <row r="54" spans="2:10" x14ac:dyDescent="0.25">
      <c r="J54" s="6">
        <f>VLOOKUP(I53,Options!$A$180:$B$185,2,FALSE)</f>
        <v>6</v>
      </c>
    </row>
    <row r="55" spans="2:10" x14ac:dyDescent="0.25">
      <c r="I55" s="6">
        <f>B43</f>
        <v>15</v>
      </c>
    </row>
    <row r="56" spans="2:10" x14ac:dyDescent="0.25">
      <c r="I56" s="6" t="str">
        <f>C43</f>
        <v>Mild</v>
      </c>
    </row>
    <row r="59" spans="2:10" x14ac:dyDescent="0.25">
      <c r="I59" s="6">
        <v>1</v>
      </c>
    </row>
    <row r="60" spans="2:10" x14ac:dyDescent="0.25">
      <c r="B60">
        <f>COUNTIF(I67:I70,TRUE)</f>
        <v>0</v>
      </c>
    </row>
    <row r="61" spans="2:10" x14ac:dyDescent="0.25">
      <c r="I61" s="6">
        <v>1</v>
      </c>
    </row>
    <row r="63" spans="2:10" x14ac:dyDescent="0.25">
      <c r="I63" s="6">
        <v>1</v>
      </c>
    </row>
    <row r="67" spans="9:9" x14ac:dyDescent="0.25">
      <c r="I67" s="6" t="b">
        <v>0</v>
      </c>
    </row>
    <row r="68" spans="9:9" x14ac:dyDescent="0.25">
      <c r="I68" s="6" t="b">
        <v>0</v>
      </c>
    </row>
    <row r="69" spans="9:9" x14ac:dyDescent="0.25">
      <c r="I69" s="6" t="b">
        <v>0</v>
      </c>
    </row>
    <row r="70" spans="9:9" x14ac:dyDescent="0.25">
      <c r="I70" s="6" t="b">
        <v>0</v>
      </c>
    </row>
    <row r="72" spans="9:9" x14ac:dyDescent="0.25">
      <c r="I72" s="6">
        <f>B60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4" name="Group Box 5">
              <controlPr defaultSize="0" autoFill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Option Button 6">
              <controlPr defaultSize="0" autoFill="0" autoLine="0" autoPict="0">
                <anchor moveWithCells="1">
                  <from>
                    <xdr:col>0</xdr:col>
                    <xdr:colOff>352425</xdr:colOff>
                    <xdr:row>1</xdr:row>
                    <xdr:rowOff>152400</xdr:rowOff>
                  </from>
                  <to>
                    <xdr:col>0</xdr:col>
                    <xdr:colOff>838200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Option Button 9">
              <controlPr defaultSize="0" autoFill="0" autoLine="0" autoPict="0">
                <anchor moveWithCells="1">
                  <from>
                    <xdr:col>1</xdr:col>
                    <xdr:colOff>142875</xdr:colOff>
                    <xdr:row>1</xdr:row>
                    <xdr:rowOff>152400</xdr:rowOff>
                  </from>
                  <to>
                    <xdr:col>2</xdr:col>
                    <xdr:colOff>19050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Group Box 10">
              <controlPr defaultSize="0" autoFill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8" name="Group Box 12">
              <controlPr defaultSize="0" autoFill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9" name="Drop Down 13">
              <controlPr defaultSize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0" name="Group Box 14">
              <controlPr defaultSize="0" autoFill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1" name="Drop Down 15">
              <controlPr defaultSize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2" name="Drop Down 16">
              <controlPr defaultSize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Group Box 17">
              <controlPr defaultSize="0" autoFill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Drop Down 19">
              <controlPr defaultSize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Group Box 20">
              <controlPr defaultSize="0" autoFill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6" name="Group Box 22">
              <controlPr defaultSize="0" autoFill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4</xdr:col>
                    <xdr:colOff>609600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7" name="Label 23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8" name="Label 24">
              <controlPr defaultSize="0" autoFill="0" autoLine="0" autoPict="0">
                <anchor moveWithCells="1" siz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9" name="Label 25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0" name="Drop Down 26">
              <controlPr defaultSize="0" autoLine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4</xdr:col>
                    <xdr:colOff>390525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1" name="Drop Down 27">
              <controlPr defaultSize="0" autoLine="0" autoPict="0">
                <anchor moveWithCells="1">
                  <from>
                    <xdr:col>1</xdr:col>
                    <xdr:colOff>0</xdr:colOff>
                    <xdr:row>49</xdr:row>
                    <xdr:rowOff>180975</xdr:rowOff>
                  </from>
                  <to>
                    <xdr:col>4</xdr:col>
                    <xdr:colOff>390525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2" name="Drop Down 28">
              <controlPr defaultSize="0" autoLine="0" autoPict="0">
                <anchor moveWithCells="1">
                  <from>
                    <xdr:col>1</xdr:col>
                    <xdr:colOff>0</xdr:colOff>
                    <xdr:row>51</xdr:row>
                    <xdr:rowOff>180975</xdr:rowOff>
                  </from>
                  <to>
                    <xdr:col>4</xdr:col>
                    <xdr:colOff>390525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3" name="Label 29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4" name="Group Box 30">
              <controlPr defaultSize="0" autoFill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4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Group Box 31">
              <controlPr defaultSize="0" autoFill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5</xdr:col>
                    <xdr:colOff>609600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Label 32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7" name="Label 33">
              <controlPr defaultSize="0" autoFill="0" autoLine="0" autoPict="0">
                <anchor moveWithCells="1" sizeWithCells="1">
                  <from>
                    <xdr:col>0</xdr:col>
                    <xdr:colOff>0</xdr:colOff>
                    <xdr:row>60</xdr:row>
                    <xdr:rowOff>9525</xdr:rowOff>
                  </from>
                  <to>
                    <xdr:col>1</xdr:col>
                    <xdr:colOff>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8" name="Label 34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29" name="Drop Down 35">
              <controlPr defaultSize="0" autoLine="0" autoPict="0">
                <anchor mov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30" name="Drop Down 36">
              <controlPr defaultSize="0" autoLine="0" autoPict="0">
                <anchor moveWithCells="1">
                  <from>
                    <xdr:col>1</xdr:col>
                    <xdr:colOff>0</xdr:colOff>
                    <xdr:row>59</xdr:row>
                    <xdr:rowOff>180975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31" name="Drop Down 37">
              <controlPr defaultSize="0" autoLine="0" autoPict="0">
                <anchor moveWithCells="1">
                  <from>
                    <xdr:col>1</xdr:col>
                    <xdr:colOff>0</xdr:colOff>
                    <xdr:row>61</xdr:row>
                    <xdr:rowOff>180975</xdr:rowOff>
                  </from>
                  <to>
                    <xdr:col>6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32" name="Group Box 38">
              <controlPr defaultSize="0" autoFill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2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33" name="Check Box 40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34" name="Check Box 41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0</xdr:col>
                    <xdr:colOff>809625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35" name="Check Box 42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36" name="Check Box 43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37" name="Label 45">
              <controlPr defaultSize="0" autoFill="0" autoLine="0" autoPict="0">
                <anchor moveWithCells="1" siz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38" name="Group Box 46">
              <controlPr defaultSize="0" autoFill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39" name="Check Box 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180975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40" name="Check Box 49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190500</xdr:rowOff>
                  </from>
                  <to>
                    <xdr:col>1</xdr:col>
                    <xdr:colOff>180975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41" name="Check Box 50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180975</xdr:rowOff>
                  </from>
                  <to>
                    <xdr:col>1</xdr:col>
                    <xdr:colOff>180975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42" name="Check Box 51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180975</xdr:rowOff>
                  </from>
                  <to>
                    <xdr:col>1</xdr:col>
                    <xdr:colOff>180975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43" name="Check Box 52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180975</xdr:rowOff>
                  </from>
                  <to>
                    <xdr:col>1</xdr:col>
                    <xdr:colOff>180975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44" name="Check Box 53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171450</xdr:rowOff>
                  </from>
                  <to>
                    <xdr:col>1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45" name="Check Box 54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171450</xdr:rowOff>
                  </from>
                  <to>
                    <xdr:col>1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4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171450</xdr:rowOff>
                  </from>
                  <to>
                    <xdr:col>1</xdr:col>
                    <xdr:colOff>180975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4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161925</xdr:rowOff>
                  </from>
                  <to>
                    <xdr:col>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4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161925</xdr:rowOff>
                  </from>
                  <to>
                    <xdr:col>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49" name="Check Box 5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581025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50" name="Check Box 5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190500</xdr:rowOff>
                  </from>
                  <to>
                    <xdr:col>3</xdr:col>
                    <xdr:colOff>581025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51" name="Check Box 6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180975</xdr:rowOff>
                  </from>
                  <to>
                    <xdr:col>3</xdr:col>
                    <xdr:colOff>581025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52" name="Check Box 61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180975</xdr:rowOff>
                  </from>
                  <to>
                    <xdr:col>3</xdr:col>
                    <xdr:colOff>581025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53" name="Check Box 6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180975</xdr:rowOff>
                  </from>
                  <to>
                    <xdr:col>3</xdr:col>
                    <xdr:colOff>581025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54" name="Check Box 6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171450</xdr:rowOff>
                  </from>
                  <to>
                    <xdr:col>3</xdr:col>
                    <xdr:colOff>581025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55" name="Check Box 6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171450</xdr:rowOff>
                  </from>
                  <to>
                    <xdr:col>3</xdr:col>
                    <xdr:colOff>581025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56" name="Check Box 65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171450</xdr:rowOff>
                  </from>
                  <to>
                    <xdr:col>3</xdr:col>
                    <xdr:colOff>581025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57" name="Check Box 66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161925</xdr:rowOff>
                  </from>
                  <to>
                    <xdr:col>3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58" name="Check Box 67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161925</xdr:rowOff>
                  </from>
                  <to>
                    <xdr:col>3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59" name="Check Box 68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0</xdr:rowOff>
                  </from>
                  <to>
                    <xdr:col>6</xdr:col>
                    <xdr:colOff>200025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60" name="Check Box 71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180975</xdr:rowOff>
                  </from>
                  <to>
                    <xdr:col>6</xdr:col>
                    <xdr:colOff>200025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61" name="Check Box 72">
              <controlPr defaultSize="0" autoFill="0" autoLine="0" autoPict="0">
                <anchor moveWithCells="1">
                  <from>
                    <xdr:col>4</xdr:col>
                    <xdr:colOff>228600</xdr:colOff>
                    <xdr:row>20</xdr:row>
                    <xdr:rowOff>180975</xdr:rowOff>
                  </from>
                  <to>
                    <xdr:col>6</xdr:col>
                    <xdr:colOff>200025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62" name="Check Box 73">
              <controlPr defaultSize="0" autoFill="0" autoLine="0" autoPict="0">
                <anchor moveWithCells="1">
                  <from>
                    <xdr:col>4</xdr:col>
                    <xdr:colOff>228600</xdr:colOff>
                    <xdr:row>21</xdr:row>
                    <xdr:rowOff>171450</xdr:rowOff>
                  </from>
                  <to>
                    <xdr:col>6</xdr:col>
                    <xdr:colOff>200025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63" name="Check Box 74">
              <controlPr defaultSize="0" autoFill="0" autoLine="0" autoPict="0">
                <anchor moveWithCells="1">
                  <from>
                    <xdr:col>4</xdr:col>
                    <xdr:colOff>228600</xdr:colOff>
                    <xdr:row>22</xdr:row>
                    <xdr:rowOff>171450</xdr:rowOff>
                  </from>
                  <to>
                    <xdr:col>6</xdr:col>
                    <xdr:colOff>200025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64" name="Check Box 75">
              <controlPr defaultSize="0" autoFill="0" autoLine="0" autoPict="0">
                <anchor moveWithCells="1">
                  <from>
                    <xdr:col>4</xdr:col>
                    <xdr:colOff>228600</xdr:colOff>
                    <xdr:row>23</xdr:row>
                    <xdr:rowOff>161925</xdr:rowOff>
                  </from>
                  <to>
                    <xdr:col>6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65" name="Check Box 76">
              <controlPr defaultSize="0" autoFill="0" autoLine="0" autoPict="0">
                <anchor moveWithCells="1">
                  <from>
                    <xdr:col>4</xdr:col>
                    <xdr:colOff>228600</xdr:colOff>
                    <xdr:row>24</xdr:row>
                    <xdr:rowOff>161925</xdr:rowOff>
                  </from>
                  <to>
                    <xdr:col>6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D3BF-DED1-4CD6-88D7-4914C4B07C3C}">
  <sheetPr codeName="Sheet7"/>
  <dimension ref="A2:K12"/>
  <sheetViews>
    <sheetView zoomScaleNormal="100" workbookViewId="0">
      <selection activeCell="K11" sqref="K11"/>
    </sheetView>
  </sheetViews>
  <sheetFormatPr defaultRowHeight="15" x14ac:dyDescent="0.25"/>
  <sheetData>
    <row r="2" spans="1:11" x14ac:dyDescent="0.25">
      <c r="A2">
        <v>5</v>
      </c>
      <c r="B2">
        <v>5</v>
      </c>
    </row>
    <row r="3" spans="1:11" x14ac:dyDescent="0.25">
      <c r="A3">
        <v>5</v>
      </c>
      <c r="K3" t="s">
        <v>1</v>
      </c>
    </row>
    <row r="4" spans="1:11" x14ac:dyDescent="0.25">
      <c r="A4">
        <v>4</v>
      </c>
      <c r="K4">
        <v>104</v>
      </c>
    </row>
    <row r="5" spans="1:11" x14ac:dyDescent="0.25">
      <c r="A5">
        <v>3</v>
      </c>
      <c r="K5" t="s">
        <v>5</v>
      </c>
    </row>
    <row r="6" spans="1:11" x14ac:dyDescent="0.25">
      <c r="A6">
        <v>1</v>
      </c>
      <c r="K6" t="s">
        <v>23</v>
      </c>
    </row>
    <row r="7" spans="1:11" x14ac:dyDescent="0.25">
      <c r="A7">
        <v>3</v>
      </c>
      <c r="K7" t="s">
        <v>31</v>
      </c>
    </row>
    <row r="8" spans="1:11" x14ac:dyDescent="0.25">
      <c r="A8">
        <v>5</v>
      </c>
      <c r="K8" t="s">
        <v>64</v>
      </c>
    </row>
    <row r="9" spans="1:11" x14ac:dyDescent="0.25">
      <c r="A9">
        <v>6</v>
      </c>
      <c r="K9" t="s">
        <v>70</v>
      </c>
    </row>
    <row r="10" spans="1:11" x14ac:dyDescent="0.25">
      <c r="A10" t="s">
        <v>171</v>
      </c>
      <c r="K10" t="s">
        <v>74</v>
      </c>
    </row>
    <row r="11" spans="1:11" x14ac:dyDescent="0.25">
      <c r="A11" t="s">
        <v>172</v>
      </c>
    </row>
    <row r="12" spans="1:11" x14ac:dyDescent="0.25">
      <c r="A12" t="s">
        <v>173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2">
          <controlPr defaultSize="0" autoLine="0" r:id="rId5">
            <anchor moveWithCells="1">
              <from>
                <xdr:col>4</xdr:col>
                <xdr:colOff>542925</xdr:colOff>
                <xdr:row>12</xdr:row>
                <xdr:rowOff>28575</xdr:rowOff>
              </from>
              <to>
                <xdr:col>5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8194" r:id="rId4" name="CommandButton2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autoPict="0" r:id="rId7">
            <anchor moveWithCells="1">
              <from>
                <xdr:col>3</xdr:col>
                <xdr:colOff>542925</xdr:colOff>
                <xdr:row>4</xdr:row>
                <xdr:rowOff>180975</xdr:rowOff>
              </from>
              <to>
                <xdr:col>6</xdr:col>
                <xdr:colOff>504825</xdr:colOff>
                <xdr:row>9</xdr:row>
                <xdr:rowOff>123825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3E23-7470-4E2D-9425-58DB0E21EE7F}">
  <sheetPr codeName="Sheet2"/>
  <dimension ref="A1:E275"/>
  <sheetViews>
    <sheetView zoomScaleNormal="100" workbookViewId="0">
      <selection activeCell="B1" sqref="B1:B1048576"/>
    </sheetView>
  </sheetViews>
  <sheetFormatPr defaultRowHeight="15" x14ac:dyDescent="0.25"/>
  <cols>
    <col min="1" max="1" width="59.140625" bestFit="1" customWidth="1"/>
  </cols>
  <sheetData>
    <row r="1" spans="1:1" x14ac:dyDescent="0.25">
      <c r="A1" s="2" t="s">
        <v>26</v>
      </c>
    </row>
    <row r="2" spans="1:1" x14ac:dyDescent="0.25">
      <c r="A2" t="s">
        <v>0</v>
      </c>
    </row>
    <row r="3" spans="1:1" x14ac:dyDescent="0.25">
      <c r="A3" t="s">
        <v>1</v>
      </c>
    </row>
    <row r="5" spans="1:1" x14ac:dyDescent="0.25">
      <c r="A5" s="2" t="s">
        <v>170</v>
      </c>
    </row>
    <row r="6" spans="1:1" x14ac:dyDescent="0.25">
      <c r="A6">
        <v>1</v>
      </c>
    </row>
    <row r="7" spans="1:1" x14ac:dyDescent="0.25">
      <c r="A7">
        <v>2</v>
      </c>
    </row>
    <row r="8" spans="1:1" x14ac:dyDescent="0.25">
      <c r="A8">
        <v>3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6</v>
      </c>
    </row>
    <row r="12" spans="1:1" x14ac:dyDescent="0.25">
      <c r="A12">
        <v>7</v>
      </c>
    </row>
    <row r="13" spans="1:1" x14ac:dyDescent="0.25">
      <c r="A13">
        <v>8</v>
      </c>
    </row>
    <row r="14" spans="1:1" x14ac:dyDescent="0.25">
      <c r="A14">
        <v>9</v>
      </c>
    </row>
    <row r="15" spans="1:1" x14ac:dyDescent="0.25">
      <c r="A15">
        <v>10</v>
      </c>
    </row>
    <row r="16" spans="1:1" x14ac:dyDescent="0.25">
      <c r="A16">
        <v>11</v>
      </c>
    </row>
    <row r="17" spans="1:1" x14ac:dyDescent="0.25">
      <c r="A17">
        <v>12</v>
      </c>
    </row>
    <row r="18" spans="1:1" x14ac:dyDescent="0.25">
      <c r="A18">
        <v>13</v>
      </c>
    </row>
    <row r="19" spans="1:1" x14ac:dyDescent="0.25">
      <c r="A19">
        <v>14</v>
      </c>
    </row>
    <row r="20" spans="1:1" x14ac:dyDescent="0.25">
      <c r="A20">
        <v>15</v>
      </c>
    </row>
    <row r="21" spans="1:1" x14ac:dyDescent="0.25">
      <c r="A21">
        <v>16</v>
      </c>
    </row>
    <row r="22" spans="1:1" x14ac:dyDescent="0.25">
      <c r="A22">
        <v>17</v>
      </c>
    </row>
    <row r="23" spans="1:1" x14ac:dyDescent="0.25">
      <c r="A23">
        <v>18</v>
      </c>
    </row>
    <row r="24" spans="1:1" x14ac:dyDescent="0.25">
      <c r="A24">
        <v>19</v>
      </c>
    </row>
    <row r="25" spans="1:1" x14ac:dyDescent="0.25">
      <c r="A25">
        <v>20</v>
      </c>
    </row>
    <row r="26" spans="1:1" x14ac:dyDescent="0.25">
      <c r="A26">
        <v>21</v>
      </c>
    </row>
    <row r="27" spans="1:1" x14ac:dyDescent="0.25">
      <c r="A27">
        <v>22</v>
      </c>
    </row>
    <row r="28" spans="1:1" x14ac:dyDescent="0.25">
      <c r="A28">
        <v>23</v>
      </c>
    </row>
    <row r="29" spans="1:1" x14ac:dyDescent="0.25">
      <c r="A29">
        <v>24</v>
      </c>
    </row>
    <row r="30" spans="1:1" x14ac:dyDescent="0.25">
      <c r="A30">
        <v>25</v>
      </c>
    </row>
    <row r="31" spans="1:1" x14ac:dyDescent="0.25">
      <c r="A31">
        <v>26</v>
      </c>
    </row>
    <row r="32" spans="1:1" x14ac:dyDescent="0.25">
      <c r="A32">
        <v>27</v>
      </c>
    </row>
    <row r="33" spans="1:1" x14ac:dyDescent="0.25">
      <c r="A33">
        <v>28</v>
      </c>
    </row>
    <row r="34" spans="1:1" x14ac:dyDescent="0.25">
      <c r="A34">
        <v>29</v>
      </c>
    </row>
    <row r="35" spans="1:1" x14ac:dyDescent="0.25">
      <c r="A35">
        <v>30</v>
      </c>
    </row>
    <row r="36" spans="1:1" x14ac:dyDescent="0.25">
      <c r="A36">
        <v>31</v>
      </c>
    </row>
    <row r="37" spans="1:1" x14ac:dyDescent="0.25">
      <c r="A37">
        <v>32</v>
      </c>
    </row>
    <row r="38" spans="1:1" x14ac:dyDescent="0.25">
      <c r="A38">
        <v>33</v>
      </c>
    </row>
    <row r="39" spans="1:1" x14ac:dyDescent="0.25">
      <c r="A39">
        <v>34</v>
      </c>
    </row>
    <row r="40" spans="1:1" x14ac:dyDescent="0.25">
      <c r="A40">
        <v>35</v>
      </c>
    </row>
    <row r="41" spans="1:1" x14ac:dyDescent="0.25">
      <c r="A41">
        <v>36</v>
      </c>
    </row>
    <row r="42" spans="1:1" x14ac:dyDescent="0.25">
      <c r="A42">
        <v>37</v>
      </c>
    </row>
    <row r="43" spans="1:1" x14ac:dyDescent="0.25">
      <c r="A43">
        <v>38</v>
      </c>
    </row>
    <row r="44" spans="1:1" x14ac:dyDescent="0.25">
      <c r="A44">
        <v>39</v>
      </c>
    </row>
    <row r="45" spans="1:1" x14ac:dyDescent="0.25">
      <c r="A45">
        <v>40</v>
      </c>
    </row>
    <row r="46" spans="1:1" x14ac:dyDescent="0.25">
      <c r="A46">
        <v>41</v>
      </c>
    </row>
    <row r="47" spans="1:1" x14ac:dyDescent="0.25">
      <c r="A47">
        <v>42</v>
      </c>
    </row>
    <row r="48" spans="1:1" x14ac:dyDescent="0.25">
      <c r="A48">
        <v>43</v>
      </c>
    </row>
    <row r="49" spans="1:1" x14ac:dyDescent="0.25">
      <c r="A49">
        <v>44</v>
      </c>
    </row>
    <row r="50" spans="1:1" x14ac:dyDescent="0.25">
      <c r="A50">
        <v>45</v>
      </c>
    </row>
    <row r="51" spans="1:1" x14ac:dyDescent="0.25">
      <c r="A51">
        <v>46</v>
      </c>
    </row>
    <row r="52" spans="1:1" x14ac:dyDescent="0.25">
      <c r="A52">
        <v>47</v>
      </c>
    </row>
    <row r="53" spans="1:1" x14ac:dyDescent="0.25">
      <c r="A53">
        <v>48</v>
      </c>
    </row>
    <row r="54" spans="1:1" x14ac:dyDescent="0.25">
      <c r="A54">
        <v>49</v>
      </c>
    </row>
    <row r="55" spans="1:1" x14ac:dyDescent="0.25">
      <c r="A55">
        <v>50</v>
      </c>
    </row>
    <row r="56" spans="1:1" x14ac:dyDescent="0.25">
      <c r="A56">
        <v>51</v>
      </c>
    </row>
    <row r="57" spans="1:1" x14ac:dyDescent="0.25">
      <c r="A57">
        <v>52</v>
      </c>
    </row>
    <row r="58" spans="1:1" x14ac:dyDescent="0.25">
      <c r="A58">
        <v>53</v>
      </c>
    </row>
    <row r="59" spans="1:1" x14ac:dyDescent="0.25">
      <c r="A59">
        <v>54</v>
      </c>
    </row>
    <row r="60" spans="1:1" x14ac:dyDescent="0.25">
      <c r="A60">
        <v>55</v>
      </c>
    </row>
    <row r="61" spans="1:1" x14ac:dyDescent="0.25">
      <c r="A61">
        <v>56</v>
      </c>
    </row>
    <row r="62" spans="1:1" x14ac:dyDescent="0.25">
      <c r="A62">
        <v>57</v>
      </c>
    </row>
    <row r="63" spans="1:1" x14ac:dyDescent="0.25">
      <c r="A63">
        <v>58</v>
      </c>
    </row>
    <row r="64" spans="1:1" x14ac:dyDescent="0.25">
      <c r="A64">
        <v>59</v>
      </c>
    </row>
    <row r="65" spans="1:1" x14ac:dyDescent="0.25">
      <c r="A65">
        <v>60</v>
      </c>
    </row>
    <row r="66" spans="1:1" x14ac:dyDescent="0.25">
      <c r="A66">
        <v>61</v>
      </c>
    </row>
    <row r="67" spans="1:1" x14ac:dyDescent="0.25">
      <c r="A67">
        <v>62</v>
      </c>
    </row>
    <row r="68" spans="1:1" x14ac:dyDescent="0.25">
      <c r="A68">
        <v>63</v>
      </c>
    </row>
    <row r="69" spans="1:1" x14ac:dyDescent="0.25">
      <c r="A69">
        <v>64</v>
      </c>
    </row>
    <row r="70" spans="1:1" x14ac:dyDescent="0.25">
      <c r="A70">
        <v>65</v>
      </c>
    </row>
    <row r="71" spans="1:1" x14ac:dyDescent="0.25">
      <c r="A71">
        <v>66</v>
      </c>
    </row>
    <row r="72" spans="1:1" x14ac:dyDescent="0.25">
      <c r="A72">
        <v>67</v>
      </c>
    </row>
    <row r="73" spans="1:1" x14ac:dyDescent="0.25">
      <c r="A73">
        <v>68</v>
      </c>
    </row>
    <row r="74" spans="1:1" x14ac:dyDescent="0.25">
      <c r="A74">
        <v>69</v>
      </c>
    </row>
    <row r="75" spans="1:1" x14ac:dyDescent="0.25">
      <c r="A75">
        <v>70</v>
      </c>
    </row>
    <row r="76" spans="1:1" x14ac:dyDescent="0.25">
      <c r="A76">
        <v>71</v>
      </c>
    </row>
    <row r="77" spans="1:1" x14ac:dyDescent="0.25">
      <c r="A77">
        <v>72</v>
      </c>
    </row>
    <row r="78" spans="1:1" x14ac:dyDescent="0.25">
      <c r="A78">
        <v>73</v>
      </c>
    </row>
    <row r="79" spans="1:1" x14ac:dyDescent="0.25">
      <c r="A79">
        <v>74</v>
      </c>
    </row>
    <row r="80" spans="1:1" x14ac:dyDescent="0.25">
      <c r="A80">
        <v>75</v>
      </c>
    </row>
    <row r="81" spans="1:1" x14ac:dyDescent="0.25">
      <c r="A81">
        <v>76</v>
      </c>
    </row>
    <row r="82" spans="1:1" x14ac:dyDescent="0.25">
      <c r="A82">
        <v>77</v>
      </c>
    </row>
    <row r="83" spans="1:1" x14ac:dyDescent="0.25">
      <c r="A83">
        <v>78</v>
      </c>
    </row>
    <row r="84" spans="1:1" x14ac:dyDescent="0.25">
      <c r="A84">
        <v>79</v>
      </c>
    </row>
    <row r="85" spans="1:1" x14ac:dyDescent="0.25">
      <c r="A85">
        <v>80</v>
      </c>
    </row>
    <row r="86" spans="1:1" x14ac:dyDescent="0.25">
      <c r="A86">
        <v>81</v>
      </c>
    </row>
    <row r="87" spans="1:1" x14ac:dyDescent="0.25">
      <c r="A87">
        <v>82</v>
      </c>
    </row>
    <row r="88" spans="1:1" x14ac:dyDescent="0.25">
      <c r="A88">
        <v>83</v>
      </c>
    </row>
    <row r="89" spans="1:1" x14ac:dyDescent="0.25">
      <c r="A89">
        <v>84</v>
      </c>
    </row>
    <row r="90" spans="1:1" x14ac:dyDescent="0.25">
      <c r="A90">
        <v>85</v>
      </c>
    </row>
    <row r="91" spans="1:1" x14ac:dyDescent="0.25">
      <c r="A91">
        <v>86</v>
      </c>
    </row>
    <row r="92" spans="1:1" x14ac:dyDescent="0.25">
      <c r="A92">
        <v>87</v>
      </c>
    </row>
    <row r="93" spans="1:1" x14ac:dyDescent="0.25">
      <c r="A93">
        <v>88</v>
      </c>
    </row>
    <row r="94" spans="1:1" x14ac:dyDescent="0.25">
      <c r="A94">
        <v>89</v>
      </c>
    </row>
    <row r="95" spans="1:1" x14ac:dyDescent="0.25">
      <c r="A95">
        <v>90</v>
      </c>
    </row>
    <row r="96" spans="1:1" x14ac:dyDescent="0.25">
      <c r="A96">
        <v>91</v>
      </c>
    </row>
    <row r="97" spans="1:1" x14ac:dyDescent="0.25">
      <c r="A97">
        <v>92</v>
      </c>
    </row>
    <row r="98" spans="1:1" x14ac:dyDescent="0.25">
      <c r="A98">
        <v>93</v>
      </c>
    </row>
    <row r="99" spans="1:1" x14ac:dyDescent="0.25">
      <c r="A99">
        <v>94</v>
      </c>
    </row>
    <row r="100" spans="1:1" x14ac:dyDescent="0.25">
      <c r="A100">
        <v>95</v>
      </c>
    </row>
    <row r="101" spans="1:1" x14ac:dyDescent="0.25">
      <c r="A101">
        <v>96</v>
      </c>
    </row>
    <row r="102" spans="1:1" x14ac:dyDescent="0.25">
      <c r="A102">
        <v>97</v>
      </c>
    </row>
    <row r="103" spans="1:1" x14ac:dyDescent="0.25">
      <c r="A103">
        <v>98</v>
      </c>
    </row>
    <row r="104" spans="1:1" x14ac:dyDescent="0.25">
      <c r="A104">
        <v>99</v>
      </c>
    </row>
    <row r="105" spans="1:1" x14ac:dyDescent="0.25">
      <c r="A105">
        <v>100</v>
      </c>
    </row>
    <row r="106" spans="1:1" x14ac:dyDescent="0.25">
      <c r="A106">
        <v>101</v>
      </c>
    </row>
    <row r="107" spans="1:1" x14ac:dyDescent="0.25">
      <c r="A107">
        <v>102</v>
      </c>
    </row>
    <row r="108" spans="1:1" x14ac:dyDescent="0.25">
      <c r="A108">
        <v>103</v>
      </c>
    </row>
    <row r="109" spans="1:1" x14ac:dyDescent="0.25">
      <c r="A109">
        <v>104</v>
      </c>
    </row>
    <row r="110" spans="1:1" x14ac:dyDescent="0.25">
      <c r="A110">
        <v>105</v>
      </c>
    </row>
    <row r="111" spans="1:1" x14ac:dyDescent="0.25">
      <c r="A111">
        <v>106</v>
      </c>
    </row>
    <row r="112" spans="1:1" x14ac:dyDescent="0.25">
      <c r="A112">
        <v>107</v>
      </c>
    </row>
    <row r="113" spans="1:1" x14ac:dyDescent="0.25">
      <c r="A113">
        <v>108</v>
      </c>
    </row>
    <row r="114" spans="1:1" x14ac:dyDescent="0.25">
      <c r="A114">
        <v>109</v>
      </c>
    </row>
    <row r="115" spans="1:1" x14ac:dyDescent="0.25">
      <c r="A115">
        <v>110</v>
      </c>
    </row>
    <row r="118" spans="1:1" x14ac:dyDescent="0.25">
      <c r="A118" s="2" t="s">
        <v>27</v>
      </c>
    </row>
    <row r="119" spans="1:1" x14ac:dyDescent="0.25">
      <c r="A119" t="s">
        <v>2</v>
      </c>
    </row>
    <row r="120" spans="1:1" x14ac:dyDescent="0.25">
      <c r="A120" t="s">
        <v>3</v>
      </c>
    </row>
    <row r="121" spans="1:1" x14ac:dyDescent="0.25">
      <c r="A121" t="s">
        <v>4</v>
      </c>
    </row>
    <row r="122" spans="1:1" x14ac:dyDescent="0.25">
      <c r="A122" t="s">
        <v>5</v>
      </c>
    </row>
    <row r="123" spans="1:1" x14ac:dyDescent="0.25">
      <c r="A123" t="s">
        <v>6</v>
      </c>
    </row>
    <row r="124" spans="1:1" x14ac:dyDescent="0.25">
      <c r="A124" t="s">
        <v>7</v>
      </c>
    </row>
    <row r="125" spans="1:1" x14ac:dyDescent="0.25">
      <c r="A125" t="s">
        <v>8</v>
      </c>
    </row>
    <row r="126" spans="1:1" x14ac:dyDescent="0.25">
      <c r="A126" t="s">
        <v>9</v>
      </c>
    </row>
    <row r="128" spans="1:1" x14ac:dyDescent="0.25">
      <c r="A128" s="2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13</v>
      </c>
    </row>
    <row r="132" spans="1:1" x14ac:dyDescent="0.25">
      <c r="A132" t="s">
        <v>14</v>
      </c>
    </row>
    <row r="133" spans="1:1" x14ac:dyDescent="0.25">
      <c r="A133" t="s">
        <v>15</v>
      </c>
    </row>
    <row r="134" spans="1:1" x14ac:dyDescent="0.25">
      <c r="A134" t="s">
        <v>16</v>
      </c>
    </row>
    <row r="135" spans="1:1" x14ac:dyDescent="0.25">
      <c r="A135" t="s">
        <v>17</v>
      </c>
    </row>
    <row r="136" spans="1:1" x14ac:dyDescent="0.25">
      <c r="A136" t="s">
        <v>18</v>
      </c>
    </row>
    <row r="137" spans="1:1" x14ac:dyDescent="0.25">
      <c r="A137" t="s">
        <v>19</v>
      </c>
    </row>
    <row r="138" spans="1:1" x14ac:dyDescent="0.25">
      <c r="A138" t="s">
        <v>20</v>
      </c>
    </row>
    <row r="139" spans="1:1" x14ac:dyDescent="0.25">
      <c r="A139" t="s">
        <v>21</v>
      </c>
    </row>
    <row r="140" spans="1:1" x14ac:dyDescent="0.25">
      <c r="A140" t="s">
        <v>22</v>
      </c>
    </row>
    <row r="141" spans="1:1" x14ac:dyDescent="0.25">
      <c r="A141" t="s">
        <v>23</v>
      </c>
    </row>
    <row r="142" spans="1:1" x14ac:dyDescent="0.25">
      <c r="A142" t="s">
        <v>24</v>
      </c>
    </row>
    <row r="143" spans="1:1" x14ac:dyDescent="0.25">
      <c r="A143" t="s">
        <v>25</v>
      </c>
    </row>
    <row r="144" spans="1:1" x14ac:dyDescent="0.25">
      <c r="A144" t="s">
        <v>8</v>
      </c>
    </row>
    <row r="146" spans="1:2" x14ac:dyDescent="0.25">
      <c r="A146" s="2" t="s">
        <v>28</v>
      </c>
    </row>
    <row r="148" spans="1:2" x14ac:dyDescent="0.25">
      <c r="A148" s="2" t="s">
        <v>29</v>
      </c>
    </row>
    <row r="149" spans="1:2" x14ac:dyDescent="0.25">
      <c r="A149" t="s">
        <v>30</v>
      </c>
      <c r="B149">
        <v>6</v>
      </c>
    </row>
    <row r="150" spans="1:2" x14ac:dyDescent="0.25">
      <c r="A150" t="s">
        <v>31</v>
      </c>
      <c r="B150">
        <v>5</v>
      </c>
    </row>
    <row r="151" spans="1:2" x14ac:dyDescent="0.25">
      <c r="A151" t="s">
        <v>32</v>
      </c>
      <c r="B151">
        <v>4</v>
      </c>
    </row>
    <row r="152" spans="1:2" x14ac:dyDescent="0.25">
      <c r="A152" t="s">
        <v>33</v>
      </c>
      <c r="B152">
        <v>3</v>
      </c>
    </row>
    <row r="153" spans="1:2" x14ac:dyDescent="0.25">
      <c r="A153" t="s">
        <v>34</v>
      </c>
      <c r="B153">
        <v>2</v>
      </c>
    </row>
    <row r="154" spans="1:2" x14ac:dyDescent="0.25">
      <c r="A154" t="s">
        <v>35</v>
      </c>
      <c r="B154">
        <v>1</v>
      </c>
    </row>
    <row r="156" spans="1:2" x14ac:dyDescent="0.25">
      <c r="A156" t="s">
        <v>36</v>
      </c>
    </row>
    <row r="158" spans="1:2" x14ac:dyDescent="0.25">
      <c r="A158" s="2" t="s">
        <v>78</v>
      </c>
    </row>
    <row r="159" spans="1:2" x14ac:dyDescent="0.25">
      <c r="A159" t="s">
        <v>38</v>
      </c>
    </row>
    <row r="160" spans="1:2" x14ac:dyDescent="0.25">
      <c r="A160" t="s">
        <v>39</v>
      </c>
    </row>
    <row r="161" spans="1:2" x14ac:dyDescent="0.25">
      <c r="A161" t="s">
        <v>40</v>
      </c>
    </row>
    <row r="162" spans="1:2" x14ac:dyDescent="0.25">
      <c r="A162" t="s">
        <v>41</v>
      </c>
    </row>
    <row r="164" spans="1:2" x14ac:dyDescent="0.25">
      <c r="A164" s="2" t="s">
        <v>37</v>
      </c>
    </row>
    <row r="165" spans="1:2" x14ac:dyDescent="0.25">
      <c r="A165" s="1" t="s">
        <v>42</v>
      </c>
    </row>
    <row r="166" spans="1:2" x14ac:dyDescent="0.25">
      <c r="A166" s="1"/>
    </row>
    <row r="167" spans="1:2" x14ac:dyDescent="0.25">
      <c r="A167" t="s">
        <v>63</v>
      </c>
      <c r="B167">
        <v>4</v>
      </c>
    </row>
    <row r="168" spans="1:2" x14ac:dyDescent="0.25">
      <c r="A168" t="s">
        <v>64</v>
      </c>
      <c r="B168">
        <v>3</v>
      </c>
    </row>
    <row r="169" spans="1:2" x14ac:dyDescent="0.25">
      <c r="A169" t="s">
        <v>65</v>
      </c>
      <c r="B169">
        <v>2</v>
      </c>
    </row>
    <row r="170" spans="1:2" x14ac:dyDescent="0.25">
      <c r="A170" t="s">
        <v>66</v>
      </c>
      <c r="B170">
        <v>1</v>
      </c>
    </row>
    <row r="171" spans="1:2" x14ac:dyDescent="0.25">
      <c r="A171" s="1" t="s">
        <v>67</v>
      </c>
    </row>
    <row r="172" spans="1:2" x14ac:dyDescent="0.25">
      <c r="A172" s="1"/>
    </row>
    <row r="173" spans="1:2" x14ac:dyDescent="0.25">
      <c r="A173" t="s">
        <v>68</v>
      </c>
      <c r="B173">
        <v>5</v>
      </c>
    </row>
    <row r="174" spans="1:2" x14ac:dyDescent="0.25">
      <c r="A174" t="s">
        <v>69</v>
      </c>
      <c r="B174">
        <v>4</v>
      </c>
    </row>
    <row r="175" spans="1:2" x14ac:dyDescent="0.25">
      <c r="A175" t="s">
        <v>77</v>
      </c>
      <c r="B175">
        <v>3</v>
      </c>
    </row>
    <row r="176" spans="1:2" x14ac:dyDescent="0.25">
      <c r="A176" t="s">
        <v>70</v>
      </c>
      <c r="B176">
        <v>2</v>
      </c>
    </row>
    <row r="177" spans="1:2" x14ac:dyDescent="0.25">
      <c r="A177" t="s">
        <v>66</v>
      </c>
      <c r="B177">
        <v>1</v>
      </c>
    </row>
    <row r="178" spans="1:2" x14ac:dyDescent="0.25">
      <c r="A178" s="1" t="s">
        <v>71</v>
      </c>
    </row>
    <row r="179" spans="1:2" x14ac:dyDescent="0.25">
      <c r="A179" s="1"/>
    </row>
    <row r="180" spans="1:2" x14ac:dyDescent="0.25">
      <c r="A180" t="s">
        <v>72</v>
      </c>
      <c r="B180">
        <v>6</v>
      </c>
    </row>
    <row r="181" spans="1:2" x14ac:dyDescent="0.25">
      <c r="A181" t="s">
        <v>73</v>
      </c>
      <c r="B181">
        <v>5</v>
      </c>
    </row>
    <row r="182" spans="1:2" x14ac:dyDescent="0.25">
      <c r="A182" t="s">
        <v>74</v>
      </c>
      <c r="B182">
        <v>4</v>
      </c>
    </row>
    <row r="183" spans="1:2" x14ac:dyDescent="0.25">
      <c r="A183" t="s">
        <v>75</v>
      </c>
      <c r="B183">
        <v>3</v>
      </c>
    </row>
    <row r="184" spans="1:2" x14ac:dyDescent="0.25">
      <c r="A184" t="s">
        <v>76</v>
      </c>
      <c r="B184">
        <v>2</v>
      </c>
    </row>
    <row r="185" spans="1:2" x14ac:dyDescent="0.25">
      <c r="A185" t="s">
        <v>66</v>
      </c>
      <c r="B185">
        <v>1</v>
      </c>
    </row>
    <row r="187" spans="1:2" x14ac:dyDescent="0.25">
      <c r="A187">
        <v>13</v>
      </c>
      <c r="B187" t="s">
        <v>79</v>
      </c>
    </row>
    <row r="188" spans="1:2" x14ac:dyDescent="0.25">
      <c r="A188">
        <v>9</v>
      </c>
      <c r="B188" t="s">
        <v>80</v>
      </c>
    </row>
    <row r="189" spans="1:2" x14ac:dyDescent="0.25">
      <c r="A189">
        <v>3</v>
      </c>
      <c r="B189" t="s">
        <v>81</v>
      </c>
    </row>
    <row r="191" spans="1:2" x14ac:dyDescent="0.25">
      <c r="A191" t="s">
        <v>43</v>
      </c>
    </row>
    <row r="192" spans="1:2" x14ac:dyDescent="0.25">
      <c r="A192" t="s">
        <v>44</v>
      </c>
    </row>
    <row r="193" spans="1:5" x14ac:dyDescent="0.25">
      <c r="A193" t="s">
        <v>45</v>
      </c>
      <c r="B193" t="s">
        <v>48</v>
      </c>
      <c r="C193" t="s">
        <v>52</v>
      </c>
      <c r="D193" t="s">
        <v>53</v>
      </c>
      <c r="E193" t="s">
        <v>54</v>
      </c>
    </row>
    <row r="194" spans="1:5" x14ac:dyDescent="0.25">
      <c r="A194" t="s">
        <v>46</v>
      </c>
    </row>
    <row r="195" spans="1:5" x14ac:dyDescent="0.25">
      <c r="A195" t="s">
        <v>47</v>
      </c>
    </row>
    <row r="196" spans="1:5" x14ac:dyDescent="0.25">
      <c r="A196" t="s">
        <v>49</v>
      </c>
    </row>
    <row r="197" spans="1:5" x14ac:dyDescent="0.25">
      <c r="A197" t="s">
        <v>50</v>
      </c>
    </row>
    <row r="198" spans="1:5" x14ac:dyDescent="0.25">
      <c r="A198" t="s">
        <v>51</v>
      </c>
    </row>
    <row r="199" spans="1:5" x14ac:dyDescent="0.25">
      <c r="A199" t="s">
        <v>55</v>
      </c>
    </row>
    <row r="200" spans="1:5" x14ac:dyDescent="0.25">
      <c r="A200" t="s">
        <v>56</v>
      </c>
    </row>
    <row r="201" spans="1:5" x14ac:dyDescent="0.25">
      <c r="A201" t="s">
        <v>57</v>
      </c>
    </row>
    <row r="202" spans="1:5" x14ac:dyDescent="0.25">
      <c r="A202" t="s">
        <v>58</v>
      </c>
    </row>
    <row r="203" spans="1:5" x14ac:dyDescent="0.25">
      <c r="A203" t="s">
        <v>59</v>
      </c>
    </row>
    <row r="204" spans="1:5" x14ac:dyDescent="0.25">
      <c r="A204" t="s">
        <v>60</v>
      </c>
    </row>
    <row r="205" spans="1:5" x14ac:dyDescent="0.25">
      <c r="A205" t="s">
        <v>61</v>
      </c>
    </row>
    <row r="206" spans="1:5" x14ac:dyDescent="0.25">
      <c r="A206" t="s">
        <v>62</v>
      </c>
    </row>
    <row r="208" spans="1:5" x14ac:dyDescent="0.25">
      <c r="A208" s="2" t="s">
        <v>82</v>
      </c>
    </row>
    <row r="209" spans="1:2" x14ac:dyDescent="0.25">
      <c r="A209" s="1" t="s">
        <v>83</v>
      </c>
    </row>
    <row r="210" spans="1:2" x14ac:dyDescent="0.25">
      <c r="A210" s="1"/>
    </row>
    <row r="211" spans="1:2" x14ac:dyDescent="0.25">
      <c r="A211" t="s">
        <v>84</v>
      </c>
      <c r="B211">
        <v>4</v>
      </c>
    </row>
    <row r="212" spans="1:2" x14ac:dyDescent="0.25">
      <c r="A212" t="s">
        <v>85</v>
      </c>
      <c r="B212">
        <v>3</v>
      </c>
    </row>
    <row r="213" spans="1:2" x14ac:dyDescent="0.25">
      <c r="A213" t="s">
        <v>86</v>
      </c>
      <c r="B213">
        <v>2</v>
      </c>
    </row>
    <row r="214" spans="1:2" x14ac:dyDescent="0.25">
      <c r="A214" t="s">
        <v>87</v>
      </c>
      <c r="B214">
        <v>1</v>
      </c>
    </row>
    <row r="215" spans="1:2" x14ac:dyDescent="0.25">
      <c r="A215" s="1" t="s">
        <v>88</v>
      </c>
    </row>
    <row r="216" spans="1:2" x14ac:dyDescent="0.25">
      <c r="A216" s="1"/>
    </row>
    <row r="217" spans="1:2" x14ac:dyDescent="0.25">
      <c r="A217" t="s">
        <v>89</v>
      </c>
      <c r="B217">
        <v>4</v>
      </c>
    </row>
    <row r="218" spans="1:2" x14ac:dyDescent="0.25">
      <c r="A218" t="s">
        <v>90</v>
      </c>
      <c r="B218">
        <v>3</v>
      </c>
    </row>
    <row r="219" spans="1:2" x14ac:dyDescent="0.25">
      <c r="A219" t="s">
        <v>86</v>
      </c>
      <c r="B219">
        <v>2</v>
      </c>
    </row>
    <row r="220" spans="1:2" x14ac:dyDescent="0.25">
      <c r="A220" t="s">
        <v>87</v>
      </c>
      <c r="B220">
        <v>1</v>
      </c>
    </row>
    <row r="221" spans="1:2" x14ac:dyDescent="0.25">
      <c r="A221" s="1" t="s">
        <v>91</v>
      </c>
    </row>
    <row r="222" spans="1:2" x14ac:dyDescent="0.25">
      <c r="A222" s="1"/>
    </row>
    <row r="223" spans="1:2" x14ac:dyDescent="0.25">
      <c r="A223" t="s">
        <v>92</v>
      </c>
      <c r="B223">
        <v>3</v>
      </c>
    </row>
    <row r="224" spans="1:2" x14ac:dyDescent="0.25">
      <c r="A224" t="s">
        <v>93</v>
      </c>
      <c r="B224">
        <v>2</v>
      </c>
    </row>
    <row r="225" spans="1:2" x14ac:dyDescent="0.25">
      <c r="A225" t="s">
        <v>66</v>
      </c>
      <c r="B225">
        <v>1</v>
      </c>
    </row>
    <row r="227" spans="1:2" x14ac:dyDescent="0.25">
      <c r="A227" t="s">
        <v>94</v>
      </c>
    </row>
    <row r="228" spans="1:2" x14ac:dyDescent="0.25">
      <c r="A228" t="s">
        <v>95</v>
      </c>
      <c r="B228">
        <v>1</v>
      </c>
    </row>
    <row r="229" spans="1:2" x14ac:dyDescent="0.25">
      <c r="A229" t="s">
        <v>96</v>
      </c>
      <c r="B229">
        <v>1</v>
      </c>
    </row>
    <row r="230" spans="1:2" x14ac:dyDescent="0.25">
      <c r="A230" t="s">
        <v>97</v>
      </c>
      <c r="B230">
        <v>1</v>
      </c>
    </row>
    <row r="231" spans="1:2" x14ac:dyDescent="0.25">
      <c r="A231" t="s">
        <v>98</v>
      </c>
      <c r="B231">
        <v>1</v>
      </c>
    </row>
    <row r="233" spans="1:2" x14ac:dyDescent="0.25">
      <c r="A233" s="2" t="s">
        <v>99</v>
      </c>
    </row>
    <row r="234" spans="1:2" x14ac:dyDescent="0.25">
      <c r="A234" s="1" t="s">
        <v>113</v>
      </c>
    </row>
    <row r="236" spans="1:2" x14ac:dyDescent="0.25">
      <c r="A236" t="s">
        <v>95</v>
      </c>
    </row>
    <row r="237" spans="1:2" x14ac:dyDescent="0.25">
      <c r="A237" t="s">
        <v>100</v>
      </c>
    </row>
    <row r="238" spans="1:2" x14ac:dyDescent="0.25">
      <c r="A238" s="1" t="s">
        <v>114</v>
      </c>
    </row>
    <row r="239" spans="1:2" x14ac:dyDescent="0.25">
      <c r="A239" t="s">
        <v>106</v>
      </c>
    </row>
    <row r="240" spans="1:2" x14ac:dyDescent="0.25">
      <c r="A240" t="s">
        <v>107</v>
      </c>
    </row>
    <row r="241" spans="1:1" x14ac:dyDescent="0.25">
      <c r="A241" s="1" t="s">
        <v>115</v>
      </c>
    </row>
    <row r="242" spans="1:1" x14ac:dyDescent="0.25">
      <c r="A242" t="s">
        <v>101</v>
      </c>
    </row>
    <row r="243" spans="1:1" x14ac:dyDescent="0.25">
      <c r="A243" t="s">
        <v>102</v>
      </c>
    </row>
    <row r="244" spans="1:1" x14ac:dyDescent="0.25">
      <c r="A244" t="s">
        <v>103</v>
      </c>
    </row>
    <row r="245" spans="1:1" x14ac:dyDescent="0.25">
      <c r="A245" t="s">
        <v>104</v>
      </c>
    </row>
    <row r="246" spans="1:1" x14ac:dyDescent="0.25">
      <c r="A246" t="s">
        <v>149</v>
      </c>
    </row>
    <row r="247" spans="1:1" x14ac:dyDescent="0.25">
      <c r="A247" t="s">
        <v>148</v>
      </c>
    </row>
    <row r="248" spans="1:1" x14ac:dyDescent="0.25">
      <c r="A248" t="s">
        <v>105</v>
      </c>
    </row>
    <row r="249" spans="1:1" x14ac:dyDescent="0.25">
      <c r="A249" s="1" t="s">
        <v>116</v>
      </c>
    </row>
    <row r="250" spans="1:1" x14ac:dyDescent="0.25">
      <c r="A250" t="s">
        <v>112</v>
      </c>
    </row>
    <row r="251" spans="1:1" x14ac:dyDescent="0.25">
      <c r="A251" t="s">
        <v>109</v>
      </c>
    </row>
    <row r="252" spans="1:1" x14ac:dyDescent="0.25">
      <c r="A252" t="s">
        <v>110</v>
      </c>
    </row>
    <row r="253" spans="1:1" x14ac:dyDescent="0.25">
      <c r="A253" t="s">
        <v>111</v>
      </c>
    </row>
    <row r="254" spans="1:1" x14ac:dyDescent="0.25">
      <c r="A254" s="1" t="s">
        <v>117</v>
      </c>
    </row>
    <row r="255" spans="1:1" x14ac:dyDescent="0.25">
      <c r="A255" t="s">
        <v>118</v>
      </c>
    </row>
    <row r="256" spans="1:1" x14ac:dyDescent="0.25">
      <c r="A256" t="s">
        <v>119</v>
      </c>
    </row>
    <row r="257" spans="1:1" x14ac:dyDescent="0.25">
      <c r="A257" t="s">
        <v>120</v>
      </c>
    </row>
    <row r="258" spans="1:1" x14ac:dyDescent="0.25">
      <c r="A258" t="s">
        <v>108</v>
      </c>
    </row>
    <row r="259" spans="1:1" x14ac:dyDescent="0.25">
      <c r="A259" s="2" t="s">
        <v>124</v>
      </c>
    </row>
    <row r="260" spans="1:1" x14ac:dyDescent="0.25">
      <c r="A260" t="s">
        <v>125</v>
      </c>
    </row>
    <row r="261" spans="1:1" x14ac:dyDescent="0.25">
      <c r="A261" t="s">
        <v>126</v>
      </c>
    </row>
    <row r="262" spans="1:1" x14ac:dyDescent="0.25">
      <c r="A262" t="s">
        <v>127</v>
      </c>
    </row>
    <row r="263" spans="1:1" x14ac:dyDescent="0.25">
      <c r="A263" t="s">
        <v>66</v>
      </c>
    </row>
    <row r="264" spans="1:1" x14ac:dyDescent="0.25">
      <c r="A264" s="2" t="s">
        <v>128</v>
      </c>
    </row>
    <row r="265" spans="1:1" x14ac:dyDescent="0.25">
      <c r="A265" s="3" t="s">
        <v>133</v>
      </c>
    </row>
    <row r="266" spans="1:1" x14ac:dyDescent="0.25">
      <c r="A266" s="3" t="s">
        <v>63</v>
      </c>
    </row>
    <row r="267" spans="1:1" x14ac:dyDescent="0.25">
      <c r="A267" s="3" t="s">
        <v>129</v>
      </c>
    </row>
    <row r="268" spans="1:1" x14ac:dyDescent="0.25">
      <c r="A268" s="3" t="s">
        <v>130</v>
      </c>
    </row>
    <row r="269" spans="1:1" x14ac:dyDescent="0.25">
      <c r="A269" s="3" t="s">
        <v>131</v>
      </c>
    </row>
    <row r="270" spans="1:1" x14ac:dyDescent="0.25">
      <c r="A270" s="3" t="s">
        <v>68</v>
      </c>
    </row>
    <row r="271" spans="1:1" x14ac:dyDescent="0.25">
      <c r="A271" s="3" t="s">
        <v>132</v>
      </c>
    </row>
    <row r="272" spans="1:1" x14ac:dyDescent="0.25">
      <c r="A272" s="2" t="s">
        <v>121</v>
      </c>
    </row>
    <row r="273" spans="1:1" x14ac:dyDescent="0.25">
      <c r="A273" t="s">
        <v>122</v>
      </c>
    </row>
    <row r="274" spans="1:1" x14ac:dyDescent="0.25">
      <c r="A274" t="s">
        <v>123</v>
      </c>
    </row>
    <row r="275" spans="1:1" x14ac:dyDescent="0.25">
      <c r="A275" s="2" t="s">
        <v>134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2DC1-D12F-4287-8700-47DFF5B02DDE}">
  <sheetPr codeName="Sheet5"/>
  <dimension ref="A1:D1"/>
  <sheetViews>
    <sheetView workbookViewId="0"/>
  </sheetViews>
  <sheetFormatPr defaultRowHeight="15" x14ac:dyDescent="0.25"/>
  <cols>
    <col min="1" max="1" width="14.85546875" bestFit="1" customWidth="1"/>
  </cols>
  <sheetData>
    <row r="1" spans="1:4" x14ac:dyDescent="0.25">
      <c r="A1" t="s">
        <v>169</v>
      </c>
      <c r="B1" t="s">
        <v>26</v>
      </c>
      <c r="C1" t="s">
        <v>170</v>
      </c>
      <c r="D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Homepage</vt:lpstr>
      <vt:lpstr>Front End</vt:lpstr>
      <vt:lpstr>VBA Test</vt:lpstr>
      <vt:lpstr>test</vt:lpstr>
      <vt:lpstr>Options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Re</dc:creator>
  <cp:lastModifiedBy>Andrew Re</cp:lastModifiedBy>
  <dcterms:created xsi:type="dcterms:W3CDTF">2023-04-03T13:45:59Z</dcterms:created>
  <dcterms:modified xsi:type="dcterms:W3CDTF">2023-04-04T01:29:58Z</dcterms:modified>
</cp:coreProperties>
</file>