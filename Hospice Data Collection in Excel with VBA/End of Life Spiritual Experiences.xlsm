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Documents\Data projects\DataAnalyticsProjects\Hospice Data Collection in Excel with VBA\"/>
    </mc:Choice>
  </mc:AlternateContent>
  <xr:revisionPtr revIDLastSave="0" documentId="13_ncr:1_{BAC3F876-6A7E-42F2-986F-D7C7B5E7F473}" xr6:coauthVersionLast="47" xr6:coauthVersionMax="47" xr10:uidLastSave="{00000000-0000-0000-0000-000000000000}"/>
  <bookViews>
    <workbookView xWindow="-98" yWindow="-98" windowWidth="17115" windowHeight="10755" xr2:uid="{682C5D0B-C805-4137-A1E7-6884AB674A2F}"/>
  </bookViews>
  <sheets>
    <sheet name="VBA Test" sheetId="7" r:id="rId1"/>
    <sheet name="Options" sheetId="2" r:id="rId2"/>
    <sheet name="Processing" sheetId="9" r:id="rId3"/>
    <sheet name="Data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63" i="7" l="1"/>
  <c r="P5" i="7"/>
  <c r="E180" i="7"/>
  <c r="P180" i="7" s="1"/>
  <c r="P153" i="7"/>
  <c r="P176" i="7"/>
  <c r="P177" i="7"/>
  <c r="P178" i="7"/>
  <c r="P175" i="7"/>
  <c r="P171" i="7" a="1"/>
  <c r="P171" i="7" s="1"/>
  <c r="P169" i="7" a="1"/>
  <c r="P169" i="7" s="1"/>
  <c r="P167" i="7" a="1"/>
  <c r="P167" i="7" s="1"/>
  <c r="P162" i="7"/>
  <c r="P161" i="7"/>
  <c r="P159" i="7"/>
  <c r="Q159" i="7" s="1"/>
  <c r="P157" i="7"/>
  <c r="Q157" i="7" s="1"/>
  <c r="P155" i="7"/>
  <c r="Q155" i="7" s="1"/>
  <c r="P82" i="7"/>
  <c r="P88" i="7"/>
  <c r="P93" i="7"/>
  <c r="P95" i="7"/>
  <c r="P97" i="7"/>
  <c r="P99" i="7"/>
  <c r="P61" i="7"/>
  <c r="P68" i="7" a="1"/>
  <c r="P68" i="7" s="1"/>
  <c r="P66" i="7" a="1"/>
  <c r="P66" i="7" s="1"/>
  <c r="P64" i="7" a="1"/>
  <c r="P64" i="7" s="1"/>
  <c r="P57" i="7"/>
  <c r="Q57" i="7" s="1"/>
  <c r="P55" i="7"/>
  <c r="Q55" i="7" s="1"/>
  <c r="P53" i="7"/>
  <c r="Q53" i="7" s="1"/>
  <c r="P49" i="7"/>
  <c r="P152" i="7"/>
  <c r="P126" i="7"/>
  <c r="P127" i="7"/>
  <c r="P128" i="7"/>
  <c r="P129" i="7"/>
  <c r="P130" i="7"/>
  <c r="P131" i="7"/>
  <c r="P132" i="7"/>
  <c r="P133" i="7"/>
  <c r="P134" i="7"/>
  <c r="P135" i="7"/>
  <c r="P136" i="7"/>
  <c r="P137" i="7"/>
  <c r="P138" i="7"/>
  <c r="P139" i="7"/>
  <c r="P140" i="7"/>
  <c r="P141" i="7"/>
  <c r="P142" i="7"/>
  <c r="P143" i="7"/>
  <c r="P144" i="7"/>
  <c r="P145" i="7"/>
  <c r="P146" i="7"/>
  <c r="P147" i="7"/>
  <c r="P148" i="7"/>
  <c r="P149" i="7"/>
  <c r="P150" i="7"/>
  <c r="P151" i="7"/>
  <c r="P125" i="7"/>
  <c r="P122" i="7"/>
  <c r="P116" i="7"/>
  <c r="P51" i="7"/>
  <c r="P9" i="7"/>
  <c r="P114" i="7"/>
  <c r="P113" i="7"/>
  <c r="P111" i="7"/>
  <c r="P90" i="7"/>
  <c r="P186" i="7"/>
  <c r="P84" i="7"/>
  <c r="P17" i="7"/>
  <c r="P73" i="7"/>
  <c r="P74" i="7"/>
  <c r="P75" i="7"/>
  <c r="P72" i="7"/>
  <c r="P25" i="7"/>
  <c r="L14" i="2"/>
  <c r="P13" i="7"/>
  <c r="L10" i="2"/>
  <c r="L4" i="2" a="1"/>
  <c r="L4" i="2" s="1"/>
  <c r="L116" i="2"/>
  <c r="L110" i="2"/>
  <c r="L108" i="2"/>
  <c r="L107" i="2"/>
  <c r="L105" i="2"/>
  <c r="L98" i="2"/>
  <c r="L99" i="2"/>
  <c r="L100" i="2"/>
  <c r="L101" i="2"/>
  <c r="P104" i="7"/>
  <c r="P105" i="7"/>
  <c r="P106" i="7"/>
  <c r="P107" i="7"/>
  <c r="L97" i="2"/>
  <c r="P103" i="7"/>
  <c r="L93" i="2"/>
  <c r="L91" i="2"/>
  <c r="L89" i="2"/>
  <c r="L87" i="2"/>
  <c r="L85" i="2"/>
  <c r="L83" i="2"/>
  <c r="L77" i="2"/>
  <c r="L74" i="2"/>
  <c r="L58" i="2"/>
  <c r="L57" i="2"/>
  <c r="L55" i="2"/>
  <c r="M55" i="2" s="1"/>
  <c r="L53" i="2"/>
  <c r="M53" i="2" s="1"/>
  <c r="L48" i="2"/>
  <c r="P50" i="7"/>
  <c r="L47" i="2"/>
  <c r="L51" i="2"/>
  <c r="M51" i="2" s="1"/>
  <c r="L18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P23" i="7"/>
  <c r="P24" i="7"/>
  <c r="P26" i="7"/>
  <c r="P27" i="7"/>
  <c r="P28" i="7"/>
  <c r="P29" i="7"/>
  <c r="P30" i="7"/>
  <c r="P31" i="7"/>
  <c r="P32" i="7"/>
  <c r="P33" i="7"/>
  <c r="P34" i="7"/>
  <c r="P35" i="7"/>
  <c r="P36" i="7"/>
  <c r="P37" i="7"/>
  <c r="P38" i="7"/>
  <c r="P39" i="7"/>
  <c r="P40" i="7"/>
  <c r="P41" i="7"/>
  <c r="P42" i="7"/>
  <c r="P43" i="7"/>
  <c r="P44" i="7"/>
  <c r="P45" i="7"/>
  <c r="P46" i="7"/>
  <c r="P47" i="7"/>
  <c r="P48" i="7"/>
  <c r="L20" i="2"/>
  <c r="P22" i="7"/>
  <c r="E77" i="7"/>
  <c r="P77" i="7" s="1"/>
  <c r="E161" i="7" l="1"/>
  <c r="F161" i="7" s="1"/>
  <c r="E59" i="7"/>
  <c r="P59" i="7" s="1"/>
  <c r="F59" i="7" l="1"/>
  <c r="P60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<sst xmlns="http://schemas.openxmlformats.org/spreadsheetml/2006/main" count="691" uniqueCount="253">
  <si>
    <t>Male</t>
  </si>
  <si>
    <t>Female</t>
  </si>
  <si>
    <t>Hispanic or Latino</t>
  </si>
  <si>
    <t>American Indian or Alaska Native</t>
  </si>
  <si>
    <t>Asian</t>
  </si>
  <si>
    <t>Black or African American</t>
  </si>
  <si>
    <t>Native Hawaiian or Other Pacific Islander</t>
  </si>
  <si>
    <t>White</t>
  </si>
  <si>
    <t>Other</t>
  </si>
  <si>
    <t>Unknown</t>
  </si>
  <si>
    <t>Religious Affiliation</t>
  </si>
  <si>
    <t>Christian - Evangelical Protestant</t>
  </si>
  <si>
    <t>Christian - Mainline Protestant</t>
  </si>
  <si>
    <t>Christian - Historically Black Protestant</t>
  </si>
  <si>
    <t>Christian - Catholic</t>
  </si>
  <si>
    <t>Christian - Mormon</t>
  </si>
  <si>
    <t>Christian - Orthodox</t>
  </si>
  <si>
    <t>Christian - Jehovah's Witness</t>
  </si>
  <si>
    <t>Christian - Other</t>
  </si>
  <si>
    <t>Jewish</t>
  </si>
  <si>
    <t>Muslim</t>
  </si>
  <si>
    <t>Buddhist</t>
  </si>
  <si>
    <t>Hindu</t>
  </si>
  <si>
    <t>Atheist</t>
  </si>
  <si>
    <t>Agnostic</t>
  </si>
  <si>
    <t>Don't Know</t>
  </si>
  <si>
    <t>Sex</t>
  </si>
  <si>
    <t>Ethnicity</t>
  </si>
  <si>
    <t>Diagnoses - manual entry</t>
  </si>
  <si>
    <t>Mobiility</t>
  </si>
  <si>
    <t>Independent, full function</t>
  </si>
  <si>
    <t>Walking Aid</t>
  </si>
  <si>
    <t>Assist X1</t>
  </si>
  <si>
    <t>Assist X2</t>
  </si>
  <si>
    <t>Bed to Chair</t>
  </si>
  <si>
    <t>Bedbound</t>
  </si>
  <si>
    <t>Notable Lab Values - manual entry or connected to database</t>
  </si>
  <si>
    <t>Motor Ability</t>
  </si>
  <si>
    <t>MRI</t>
  </si>
  <si>
    <t>CT</t>
  </si>
  <si>
    <t>EEG</t>
  </si>
  <si>
    <t>PET</t>
  </si>
  <si>
    <t>Eye Opening</t>
  </si>
  <si>
    <t>Symptoms</t>
  </si>
  <si>
    <t>Hallucinations</t>
  </si>
  <si>
    <t>Pain</t>
  </si>
  <si>
    <t>Nausea</t>
  </si>
  <si>
    <t>Vommiting</t>
  </si>
  <si>
    <t>0-10 score</t>
  </si>
  <si>
    <t>Diarhea</t>
  </si>
  <si>
    <t>Constipation</t>
  </si>
  <si>
    <t>Drowsiness</t>
  </si>
  <si>
    <t>chest</t>
  </si>
  <si>
    <t>generalized</t>
  </si>
  <si>
    <t>localized</t>
  </si>
  <si>
    <t>Work of Breathing</t>
  </si>
  <si>
    <t>Coughing</t>
  </si>
  <si>
    <t>Wheezing</t>
  </si>
  <si>
    <t>Increased Secretions</t>
  </si>
  <si>
    <t>Airway Clearance Difficulty</t>
  </si>
  <si>
    <t>Incontinence of Urine</t>
  </si>
  <si>
    <t>Incontinence of Bowels</t>
  </si>
  <si>
    <t>Urinary Retention</t>
  </si>
  <si>
    <t>Spontaneous</t>
  </si>
  <si>
    <t>To Sound</t>
  </si>
  <si>
    <t>To Pressure</t>
  </si>
  <si>
    <t>None</t>
  </si>
  <si>
    <t>Verbal Response</t>
  </si>
  <si>
    <t>Oriented</t>
  </si>
  <si>
    <t>Confused</t>
  </si>
  <si>
    <t>Sounds</t>
  </si>
  <si>
    <t>Motor Response</t>
  </si>
  <si>
    <t>Obey Commands</t>
  </si>
  <si>
    <t>Move to Localised pain</t>
  </si>
  <si>
    <t>Flex to Withdraw from Pain</t>
  </si>
  <si>
    <t>Abnormal Flexion</t>
  </si>
  <si>
    <t>Abnormal Extension</t>
  </si>
  <si>
    <t>Words</t>
  </si>
  <si>
    <t>Image Study Type</t>
  </si>
  <si>
    <t>Mild</t>
  </si>
  <si>
    <t>Moderate</t>
  </si>
  <si>
    <t>Severe</t>
  </si>
  <si>
    <t>Memory</t>
  </si>
  <si>
    <t>Long Term</t>
  </si>
  <si>
    <t>Remembers past personal/historical events accurately</t>
  </si>
  <si>
    <t>Remembers past personal/historical events with some mistakes</t>
  </si>
  <si>
    <t>Confused, some accuracy</t>
  </si>
  <si>
    <t>Confused, no accuracy</t>
  </si>
  <si>
    <t>Short Term</t>
  </si>
  <si>
    <t>Remembers recent events accurately</t>
  </si>
  <si>
    <t>Remembers recent events with some mistakes</t>
  </si>
  <si>
    <t>Recall Speed</t>
  </si>
  <si>
    <t>Immediate</t>
  </si>
  <si>
    <t>Delayed</t>
  </si>
  <si>
    <t>Orientation</t>
  </si>
  <si>
    <t>Person</t>
  </si>
  <si>
    <t>Place</t>
  </si>
  <si>
    <t>Time</t>
  </si>
  <si>
    <t>Event</t>
  </si>
  <si>
    <t>Perception</t>
  </si>
  <si>
    <t>Object</t>
  </si>
  <si>
    <t>Parent</t>
  </si>
  <si>
    <t>Sibling</t>
  </si>
  <si>
    <t>Friend</t>
  </si>
  <si>
    <t>Child</t>
  </si>
  <si>
    <t>Living</t>
  </si>
  <si>
    <t>Deceased</t>
  </si>
  <si>
    <t>Touching</t>
  </si>
  <si>
    <t>Standing in same room close by</t>
  </si>
  <si>
    <t>Standing in same room far away</t>
  </si>
  <si>
    <t>Other room</t>
  </si>
  <si>
    <t>Close/Touching</t>
  </si>
  <si>
    <t>Subject</t>
  </si>
  <si>
    <t>Living or Deceased</t>
  </si>
  <si>
    <t>Relationship</t>
  </si>
  <si>
    <t>Location</t>
  </si>
  <si>
    <t>Standing/Sitting Still</t>
  </si>
  <si>
    <t>Motioning</t>
  </si>
  <si>
    <t>Speaking</t>
  </si>
  <si>
    <t>Spiritual Experience</t>
  </si>
  <si>
    <t>Yes</t>
  </si>
  <si>
    <t>No</t>
  </si>
  <si>
    <t>Positive - loving, kind, pleasant</t>
  </si>
  <si>
    <t>Negative - upset, angry, sad, unpleasant</t>
  </si>
  <si>
    <t>Neutral</t>
  </si>
  <si>
    <t>Level of Interaction</t>
  </si>
  <si>
    <t>To stimuli</t>
  </si>
  <si>
    <t>Clear</t>
  </si>
  <si>
    <t>Unclear</t>
  </si>
  <si>
    <t>Disoriented</t>
  </si>
  <si>
    <t>Eye contact</t>
  </si>
  <si>
    <t>Duration</t>
  </si>
  <si>
    <t>Total Stranger</t>
  </si>
  <si>
    <t>Acquantence</t>
  </si>
  <si>
    <t>Action</t>
  </si>
  <si>
    <t>Feeling of readiness to let go</t>
  </si>
  <si>
    <t>Report Number</t>
  </si>
  <si>
    <t>Age</t>
  </si>
  <si>
    <t>Perceived Subject</t>
  </si>
  <si>
    <t>Feeling of oneness, correctedness</t>
  </si>
  <si>
    <t>Feeling of forgiveness, peace, life satisfaction</t>
  </si>
  <si>
    <t>Feeling the precense/connectedness with a higher being</t>
  </si>
  <si>
    <t>Religion-specific figures/experiences</t>
  </si>
  <si>
    <t>Days Before Death</t>
  </si>
  <si>
    <t>Length of Episode Days</t>
  </si>
  <si>
    <t>Length of Episode Hours</t>
  </si>
  <si>
    <t/>
  </si>
  <si>
    <t>Episode Narrative</t>
  </si>
  <si>
    <t>Other Notes</t>
  </si>
  <si>
    <t>Report Date</t>
  </si>
  <si>
    <t xml:space="preserve"> </t>
  </si>
  <si>
    <t>Object Description</t>
  </si>
  <si>
    <t>Submitter</t>
  </si>
  <si>
    <t>Heidi Placella</t>
  </si>
  <si>
    <t>Andrew Re</t>
  </si>
  <si>
    <t>Sound</t>
  </si>
  <si>
    <t>Other Sensation</t>
  </si>
  <si>
    <t>Other Relationship</t>
  </si>
  <si>
    <t>Patient Response</t>
  </si>
  <si>
    <t>Pain - Generalized pre_exp</t>
  </si>
  <si>
    <t>Pain - Localized pre_exp</t>
  </si>
  <si>
    <t>Incontinence of Urine pre_exp</t>
  </si>
  <si>
    <t>Incontinence of Bowels pre_exp</t>
  </si>
  <si>
    <t>Urinary Retention pre_exp</t>
  </si>
  <si>
    <t>Nausia pre_exp</t>
  </si>
  <si>
    <t>Vomiting pre_exp</t>
  </si>
  <si>
    <t>Diarrhea pre_exp</t>
  </si>
  <si>
    <t>Constipation pre_exp</t>
  </si>
  <si>
    <t>Shortness of Breath pre_exp</t>
  </si>
  <si>
    <t>Airway Clearance pre_exp</t>
  </si>
  <si>
    <t>Confusion pre_exp</t>
  </si>
  <si>
    <t>Drowsiness pre_exp</t>
  </si>
  <si>
    <t>Cough pre_exp</t>
  </si>
  <si>
    <t>Wheezing pre_exp</t>
  </si>
  <si>
    <t>Palpitations pre_exp</t>
  </si>
  <si>
    <t>Tachycardia pre_exp</t>
  </si>
  <si>
    <t>Bradycardis pre_exp</t>
  </si>
  <si>
    <t>Hypertension pre_exp</t>
  </si>
  <si>
    <t>Hypotension pre_exp</t>
  </si>
  <si>
    <t>Cognitive Impairment (severe) pre_exp</t>
  </si>
  <si>
    <t>Cognitive Impairment (mild) pre_exp</t>
  </si>
  <si>
    <t>Weakness pre_exp</t>
  </si>
  <si>
    <t>Fever pre_exp</t>
  </si>
  <si>
    <t>Anorexia pre_exp</t>
  </si>
  <si>
    <t>Adipsia pre_exp</t>
  </si>
  <si>
    <t>Agitation/Restlessness pre_exp</t>
  </si>
  <si>
    <t>Pain - Generalized post_exp</t>
  </si>
  <si>
    <t>Pain - Localized post_exp</t>
  </si>
  <si>
    <t>Incontinence of Urine post_exp</t>
  </si>
  <si>
    <t>Incontinence of Bowels post_exp</t>
  </si>
  <si>
    <t>Urinary Retention post_exp</t>
  </si>
  <si>
    <t>Nausia post_exp</t>
  </si>
  <si>
    <t>Vomiting post_exp</t>
  </si>
  <si>
    <t>Diarrhea post_exp</t>
  </si>
  <si>
    <t>Constipation post_exp</t>
  </si>
  <si>
    <t>Shortness of Breath post_exp</t>
  </si>
  <si>
    <t>Airway Clearance post_exp</t>
  </si>
  <si>
    <t>Confusion post_exp</t>
  </si>
  <si>
    <t>Drowsiness post_exp</t>
  </si>
  <si>
    <t>Cough post_exp</t>
  </si>
  <si>
    <t>Wheezing post_exp</t>
  </si>
  <si>
    <t>Palpitations post_exp</t>
  </si>
  <si>
    <t>Tachycardia post_exp</t>
  </si>
  <si>
    <t>Bradycardis post_exp</t>
  </si>
  <si>
    <t>Hypertension post_exp</t>
  </si>
  <si>
    <t>Hypotension post_exp</t>
  </si>
  <si>
    <t>Cognitive Impairment (severe) post_exp</t>
  </si>
  <si>
    <t>Cognitive Impairment (mild) post_exp</t>
  </si>
  <si>
    <t>Weakness post_exp</t>
  </si>
  <si>
    <t>Fever post_exp</t>
  </si>
  <si>
    <t>Anorexia post_exp</t>
  </si>
  <si>
    <t>Adipsia post_exp</t>
  </si>
  <si>
    <t>Agitation/Restlessness post_exp</t>
  </si>
  <si>
    <t>Mobility pre_exp</t>
  </si>
  <si>
    <t>Notable Lab Results pre_exp</t>
  </si>
  <si>
    <t>Diagnoses pre_exp</t>
  </si>
  <si>
    <t>Eye Opening pre_exp</t>
  </si>
  <si>
    <t>Verbal Response pre_exp</t>
  </si>
  <si>
    <t>Motor Response pre_exp</t>
  </si>
  <si>
    <t>Glasgow Coma Score pre_exp</t>
  </si>
  <si>
    <t>Glasgow Severity pre_exp</t>
  </si>
  <si>
    <t>Long Term Memory pre_exp</t>
  </si>
  <si>
    <t>Short Term Memory pre_exp</t>
  </si>
  <si>
    <t>Recall Speed pre_exp</t>
  </si>
  <si>
    <t>Orientation - Person pre_exp</t>
  </si>
  <si>
    <t>Orientation - Place pre_exp</t>
  </si>
  <si>
    <t>Orientation - Time pre_exp</t>
  </si>
  <si>
    <t>Orientation - Event pre_exp</t>
  </si>
  <si>
    <t>Orientation Score pre_exp</t>
  </si>
  <si>
    <t>Mobility post_exp</t>
  </si>
  <si>
    <t>Notable Lab Results post_exp</t>
  </si>
  <si>
    <t>Eye Opening post_exp</t>
  </si>
  <si>
    <t>Verbal Response post_exp</t>
  </si>
  <si>
    <t>Motor Response post_exp</t>
  </si>
  <si>
    <t>Glasgow Coma Score post_exp</t>
  </si>
  <si>
    <t>Glasgow Severity post_exp</t>
  </si>
  <si>
    <t>Long Term Memory post_exp</t>
  </si>
  <si>
    <t>Short Term Memory post_exp</t>
  </si>
  <si>
    <t>Recall Speed post_exp</t>
  </si>
  <si>
    <t>Orientation - Person post_exp</t>
  </si>
  <si>
    <t>Orientation - Place post_exp</t>
  </si>
  <si>
    <t>Orientation - Time post_exp</t>
  </si>
  <si>
    <t>Orientation - Event post_exp</t>
  </si>
  <si>
    <t>Orientation Score post_exp</t>
  </si>
  <si>
    <t>asdfasdf</t>
  </si>
  <si>
    <t>Level of Interaction_pre_exp</t>
  </si>
  <si>
    <t>Level of Interaction_post_exp</t>
  </si>
  <si>
    <t xml:space="preserve"> asdf</t>
  </si>
  <si>
    <t xml:space="preserve"> adf</t>
  </si>
  <si>
    <t>90</t>
  </si>
  <si>
    <t xml:space="preserve"> asdff</t>
  </si>
  <si>
    <t xml:space="preserve"> asdfff</t>
  </si>
  <si>
    <t xml:space="preserve">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</si>
</sst>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3" fillId="0" borderId="0" xfId="0" applyFont="1"/>
    <xf numFmtId="0" fontId="4" fillId="0" borderId="0" xfId="0" applyFont="1"/>
    <xf numFmtId="0" fontId="0" fillId="2" borderId="0" xfId="0" applyFill="1"/>
    <xf numFmtId="0" fontId="0" fillId="3" borderId="0" xfId="0" applyFill="1"/>
    <xf numFmtId="0" fontId="0" fillId="3" borderId="0" xfId="0" applyFill="1" applyAlignment="1">
      <alignment horizontal="right"/>
    </xf>
    <xf numFmtId="0" fontId="3" fillId="0" borderId="0" xfId="0" applyFont="1" applyProtection="1">
      <protection locked="0"/>
    </xf>
    <xf numFmtId="22" fontId="4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firstButton="1" fmlaLink="$O$5" noThreeD="1"/>
</file>

<file path=xl/ctrlProps/ctrlProp3.xml><?xml version="1.0" encoding="utf-8"?>
<formControlPr xmlns="http://schemas.microsoft.com/office/spreadsheetml/2009/9/main" objectType="Radio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Drop" dropStyle="combo" dx="22" fmlaLink="$O$13" fmlaRange="Options!$A$121:$A$129" noThreeD="1" sel="1" val="0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Drop" dropStyle="combo" dx="22" fmlaLink="$O$17" fmlaRange="Options!$A$132:$A$148" noThreeD="1" sel="1" val="2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Drop" dropStyle="combo" dx="22" fmlaLink="$O$49" fmlaRange="Options!$A$153:$A$159" noThreeD="1" sel="1" val="0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Label" lockText="1"/>
</file>

<file path=xl/ctrlProps/ctrlProp12.xml><?xml version="1.0" encoding="utf-8"?>
<formControlPr xmlns="http://schemas.microsoft.com/office/spreadsheetml/2009/9/main" objectType="Label" lockText="1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Drop" dropStyle="combo" dx="22" fmlaLink="$O$53" fmlaRange="Options!$A$172:$A$176" noThreeD="1" sel="1" val="0"/>
</file>

<file path=xl/ctrlProps/ctrlProp15.xml><?xml version="1.0" encoding="utf-8"?>
<formControlPr xmlns="http://schemas.microsoft.com/office/spreadsheetml/2009/9/main" objectType="Drop" dropStyle="combo" dx="22" fmlaLink="$O$55" fmlaRange="Options!$A$178:$A$183" noThreeD="1" sel="1" val="0"/>
</file>

<file path=xl/ctrlProps/ctrlProp16.xml><?xml version="1.0" encoding="utf-8"?>
<formControlPr xmlns="http://schemas.microsoft.com/office/spreadsheetml/2009/9/main" objectType="Drop" dropStyle="combo" dx="22" fmlaLink="$O$57" fmlaRange="Options!$A$185:$A$191" noThreeD="1" sel="1" val="0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ctrlProps/ctrlProp21.xml><?xml version="1.0" encoding="utf-8"?>
<formControlPr xmlns="http://schemas.microsoft.com/office/spreadsheetml/2009/9/main" objectType="Drop" dropStyle="combo" dx="22" fmlaLink="$O$64" fmlaRange="Options!$A$216:$A$220" noThreeD="1" sel="1" val="0"/>
</file>

<file path=xl/ctrlProps/ctrlProp22.xml><?xml version="1.0" encoding="utf-8"?>
<formControlPr xmlns="http://schemas.microsoft.com/office/spreadsheetml/2009/9/main" objectType="Drop" dropStyle="combo" dx="22" fmlaLink="$O$68" fmlaRange="Options!$A$228:$A$231" noThreeD="1" sel="1" val="0"/>
</file>

<file path=xl/ctrlProps/ctrlProp23.xml><?xml version="1.0" encoding="utf-8"?>
<formControlPr xmlns="http://schemas.microsoft.com/office/spreadsheetml/2009/9/main" objectType="CheckBox" fmlaLink="$O$72" lockText="1" noThreeD="1"/>
</file>

<file path=xl/ctrlProps/ctrlProp24.xml><?xml version="1.0" encoding="utf-8"?>
<formControlPr xmlns="http://schemas.microsoft.com/office/spreadsheetml/2009/9/main" objectType="CheckBox" fmlaLink="$O$73" lockText="1" noThreeD="1"/>
</file>

<file path=xl/ctrlProps/ctrlProp25.xml><?xml version="1.0" encoding="utf-8"?>
<formControlPr xmlns="http://schemas.microsoft.com/office/spreadsheetml/2009/9/main" objectType="CheckBox" fmlaLink="$O$74" lockText="1" noThreeD="1"/>
</file>

<file path=xl/ctrlProps/ctrlProp26.xml><?xml version="1.0" encoding="utf-8"?>
<formControlPr xmlns="http://schemas.microsoft.com/office/spreadsheetml/2009/9/main" objectType="CheckBox" fmlaLink="$O$75" lockText="1" noThreeD="1"/>
</file>

<file path=xl/ctrlProps/ctrlProp27.xml><?xml version="1.0" encoding="utf-8"?>
<formControlPr xmlns="http://schemas.microsoft.com/office/spreadsheetml/2009/9/main" objectType="Label" lockText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CheckBox" fmlaLink="$O$22" lockText="1" noThreeD="1"/>
</file>

<file path=xl/ctrlProps/ctrlProp30.xml><?xml version="1.0" encoding="utf-8"?>
<formControlPr xmlns="http://schemas.microsoft.com/office/spreadsheetml/2009/9/main" objectType="CheckBox" fmlaLink="$O$23" lockText="1" noThreeD="1"/>
</file>

<file path=xl/ctrlProps/ctrlProp31.xml><?xml version="1.0" encoding="utf-8"?>
<formControlPr xmlns="http://schemas.microsoft.com/office/spreadsheetml/2009/9/main" objectType="CheckBox" fmlaLink="$O$24" lockText="1" noThreeD="1"/>
</file>

<file path=xl/ctrlProps/ctrlProp32.xml><?xml version="1.0" encoding="utf-8"?>
<formControlPr xmlns="http://schemas.microsoft.com/office/spreadsheetml/2009/9/main" objectType="CheckBox" fmlaLink="$O$25" lockText="1" noThreeD="1"/>
</file>

<file path=xl/ctrlProps/ctrlProp33.xml><?xml version="1.0" encoding="utf-8"?>
<formControlPr xmlns="http://schemas.microsoft.com/office/spreadsheetml/2009/9/main" objectType="CheckBox" fmlaLink="$O$26" lockText="1" noThreeD="1"/>
</file>

<file path=xl/ctrlProps/ctrlProp34.xml><?xml version="1.0" encoding="utf-8"?>
<formControlPr xmlns="http://schemas.microsoft.com/office/spreadsheetml/2009/9/main" objectType="CheckBox" fmlaLink="$O$27" lockText="1" noThreeD="1"/>
</file>

<file path=xl/ctrlProps/ctrlProp35.xml><?xml version="1.0" encoding="utf-8"?>
<formControlPr xmlns="http://schemas.microsoft.com/office/spreadsheetml/2009/9/main" objectType="CheckBox" fmlaLink="$O$28" lockText="1" noThreeD="1"/>
</file>

<file path=xl/ctrlProps/ctrlProp36.xml><?xml version="1.0" encoding="utf-8"?>
<formControlPr xmlns="http://schemas.microsoft.com/office/spreadsheetml/2009/9/main" objectType="CheckBox" fmlaLink="$O$29" lockText="1" noThreeD="1"/>
</file>

<file path=xl/ctrlProps/ctrlProp37.xml><?xml version="1.0" encoding="utf-8"?>
<formControlPr xmlns="http://schemas.microsoft.com/office/spreadsheetml/2009/9/main" objectType="CheckBox" fmlaLink="$O$30" lockText="1" noThreeD="1"/>
</file>

<file path=xl/ctrlProps/ctrlProp38.xml><?xml version="1.0" encoding="utf-8"?>
<formControlPr xmlns="http://schemas.microsoft.com/office/spreadsheetml/2009/9/main" objectType="CheckBox" fmlaLink="$O$31" lockText="1" noThreeD="1"/>
</file>

<file path=xl/ctrlProps/ctrlProp39.xml><?xml version="1.0" encoding="utf-8"?>
<formControlPr xmlns="http://schemas.microsoft.com/office/spreadsheetml/2009/9/main" objectType="CheckBox" fmlaLink="$O$32" lockText="1" noThreeD="1"/>
</file>

<file path=xl/ctrlProps/ctrlProp40.xml><?xml version="1.0" encoding="utf-8"?>
<formControlPr xmlns="http://schemas.microsoft.com/office/spreadsheetml/2009/9/main" objectType="CheckBox" fmlaLink="$O$33" lockText="1" noThreeD="1"/>
</file>

<file path=xl/ctrlProps/ctrlProp41.xml><?xml version="1.0" encoding="utf-8"?>
<formControlPr xmlns="http://schemas.microsoft.com/office/spreadsheetml/2009/9/main" objectType="CheckBox" fmlaLink="$O$34" lockText="1" noThreeD="1"/>
</file>

<file path=xl/ctrlProps/ctrlProp42.xml><?xml version="1.0" encoding="utf-8"?>
<formControlPr xmlns="http://schemas.microsoft.com/office/spreadsheetml/2009/9/main" objectType="CheckBox" fmlaLink="$O$35" lockText="1" noThreeD="1"/>
</file>

<file path=xl/ctrlProps/ctrlProp43.xml><?xml version="1.0" encoding="utf-8"?>
<formControlPr xmlns="http://schemas.microsoft.com/office/spreadsheetml/2009/9/main" objectType="CheckBox" fmlaLink="$O$36" lockText="1" noThreeD="1"/>
</file>

<file path=xl/ctrlProps/ctrlProp44.xml><?xml version="1.0" encoding="utf-8"?>
<formControlPr xmlns="http://schemas.microsoft.com/office/spreadsheetml/2009/9/main" objectType="CheckBox" fmlaLink="$O$37" lockText="1" noThreeD="1"/>
</file>

<file path=xl/ctrlProps/ctrlProp45.xml><?xml version="1.0" encoding="utf-8"?>
<formControlPr xmlns="http://schemas.microsoft.com/office/spreadsheetml/2009/9/main" objectType="CheckBox" fmlaLink="$O$38" lockText="1" noThreeD="1"/>
</file>

<file path=xl/ctrlProps/ctrlProp46.xml><?xml version="1.0" encoding="utf-8"?>
<formControlPr xmlns="http://schemas.microsoft.com/office/spreadsheetml/2009/9/main" objectType="CheckBox" fmlaLink="$O$39" lockText="1" noThreeD="1"/>
</file>

<file path=xl/ctrlProps/ctrlProp47.xml><?xml version="1.0" encoding="utf-8"?>
<formControlPr xmlns="http://schemas.microsoft.com/office/spreadsheetml/2009/9/main" objectType="CheckBox" fmlaLink="$O$40" lockText="1" noThreeD="1"/>
</file>

<file path=xl/ctrlProps/ctrlProp48.xml><?xml version="1.0" encoding="utf-8"?>
<formControlPr xmlns="http://schemas.microsoft.com/office/spreadsheetml/2009/9/main" objectType="CheckBox" fmlaLink="$O$41" lockText="1" noThreeD="1"/>
</file>

<file path=xl/ctrlProps/ctrlProp49.xml><?xml version="1.0" encoding="utf-8"?>
<formControlPr xmlns="http://schemas.microsoft.com/office/spreadsheetml/2009/9/main" objectType="CheckBox" fmlaLink="$O$42" lockText="1" noThreeD="1"/>
</file>

<file path=xl/ctrlProps/ctrlProp50.xml><?xml version="1.0" encoding="utf-8"?>
<formControlPr xmlns="http://schemas.microsoft.com/office/spreadsheetml/2009/9/main" objectType="CheckBox" fmlaLink="$O$43" lockText="1" noThreeD="1"/>
</file>

<file path=xl/ctrlProps/ctrlProp51.xml><?xml version="1.0" encoding="utf-8"?>
<formControlPr xmlns="http://schemas.microsoft.com/office/spreadsheetml/2009/9/main" objectType="CheckBox" fmlaLink="$O$44" lockText="1" noThreeD="1"/>
</file>

<file path=xl/ctrlProps/ctrlProp52.xml><?xml version="1.0" encoding="utf-8"?>
<formControlPr xmlns="http://schemas.microsoft.com/office/spreadsheetml/2009/9/main" objectType="CheckBox" fmlaLink="$O$45" lockText="1" noThreeD="1"/>
</file>

<file path=xl/ctrlProps/ctrlProp53.xml><?xml version="1.0" encoding="utf-8"?>
<formControlPr xmlns="http://schemas.microsoft.com/office/spreadsheetml/2009/9/main" objectType="CheckBox" fmlaLink="$O$46" lockText="1" noThreeD="1"/>
</file>

<file path=xl/ctrlProps/ctrlProp54.xml><?xml version="1.0" encoding="utf-8"?>
<formControlPr xmlns="http://schemas.microsoft.com/office/spreadsheetml/2009/9/main" objectType="CheckBox" fmlaLink="$O$47" lockText="1" noThreeD="1"/>
</file>

<file path=xl/ctrlProps/ctrlProp55.xml><?xml version="1.0" encoding="utf-8"?>
<formControlPr xmlns="http://schemas.microsoft.com/office/spreadsheetml/2009/9/main" objectType="CheckBox" fmlaLink="$O$48" lockText="1" noThreeD="1"/>
</file>

<file path=xl/ctrlProps/ctrlProp56.xml><?xml version="1.0" encoding="utf-8"?>
<formControlPr xmlns="http://schemas.microsoft.com/office/spreadsheetml/2009/9/main" objectType="GBox" noThreeD="1"/>
</file>

<file path=xl/ctrlProps/ctrlProp57.xml><?xml version="1.0" encoding="utf-8"?>
<formControlPr xmlns="http://schemas.microsoft.com/office/spreadsheetml/2009/9/main" objectType="Drop" dropStyle="combo" dx="22" fmlaLink="$O$66" fmlaRange="Options!$A$222:$A$226" noThreeD="1" sel="1" val="0"/>
</file>

<file path=xl/ctrlProps/ctrlProp58.xml><?xml version="1.0" encoding="utf-8"?>
<formControlPr xmlns="http://schemas.microsoft.com/office/spreadsheetml/2009/9/main" objectType="GBox" noThreeD="1"/>
</file>

<file path=xl/ctrlProps/ctrlProp59.xml><?xml version="1.0" encoding="utf-8"?>
<formControlPr xmlns="http://schemas.microsoft.com/office/spreadsheetml/2009/9/main" objectType="Label" lockText="1"/>
</file>

<file path=xl/ctrlProps/ctrlProp60.xml><?xml version="1.0" encoding="utf-8"?>
<formControlPr xmlns="http://schemas.microsoft.com/office/spreadsheetml/2009/9/main" objectType="Drop" dropStyle="combo" dx="22" fmlaLink="$O$82" fmlaRange="Options!$A$241:$A$245" noThreeD="1" sel="1" val="0"/>
</file>

<file path=xl/ctrlProps/ctrlProp61.xml><?xml version="1.0" encoding="utf-8"?>
<formControlPr xmlns="http://schemas.microsoft.com/office/spreadsheetml/2009/9/main" objectType="Label" lockText="1"/>
</file>

<file path=xl/ctrlProps/ctrlProp62.xml><?xml version="1.0" encoding="utf-8"?>
<formControlPr xmlns="http://schemas.microsoft.com/office/spreadsheetml/2009/9/main" objectType="Label" lockText="1"/>
</file>

<file path=xl/ctrlProps/ctrlProp63.xml><?xml version="1.0" encoding="utf-8"?>
<formControlPr xmlns="http://schemas.microsoft.com/office/spreadsheetml/2009/9/main" objectType="Drop" dropStyle="combo" dx="22" fmlaLink="$O$88" fmlaRange="Options!$A$253:$A$260" noThreeD="1" sel="1" val="0"/>
</file>

<file path=xl/ctrlProps/ctrlProp64.xml><?xml version="1.0" encoding="utf-8"?>
<formControlPr xmlns="http://schemas.microsoft.com/office/spreadsheetml/2009/9/main" objectType="Label" lockText="1"/>
</file>

<file path=xl/ctrlProps/ctrlProp65.xml><?xml version="1.0" encoding="utf-8"?>
<formControlPr xmlns="http://schemas.microsoft.com/office/spreadsheetml/2009/9/main" objectType="Drop" dropStyle="combo" dx="22" fmlaLink="$O$93" fmlaRange="Options!$A$248:$A$251" noThreeD="1" sel="1" val="0"/>
</file>

<file path=xl/ctrlProps/ctrlProp66.xml><?xml version="1.0" encoding="utf-8"?>
<formControlPr xmlns="http://schemas.microsoft.com/office/spreadsheetml/2009/9/main" objectType="Label" lockText="1"/>
</file>

<file path=xl/ctrlProps/ctrlProp67.xml><?xml version="1.0" encoding="utf-8"?>
<formControlPr xmlns="http://schemas.microsoft.com/office/spreadsheetml/2009/9/main" objectType="Drop" dropStyle="combo" dx="22" fmlaLink="$O$95" fmlaRange="Options!$A$262:$A$266" noThreeD="1" sel="1" val="0"/>
</file>

<file path=xl/ctrlProps/ctrlProp68.xml><?xml version="1.0" encoding="utf-8"?>
<formControlPr xmlns="http://schemas.microsoft.com/office/spreadsheetml/2009/9/main" objectType="Label" lockText="1"/>
</file>

<file path=xl/ctrlProps/ctrlProp69.xml><?xml version="1.0" encoding="utf-8"?>
<formControlPr xmlns="http://schemas.microsoft.com/office/spreadsheetml/2009/9/main" objectType="Drop" dropStyle="combo" dx="22" fmlaLink="$O$97" fmlaRange="Options!$A$268:$A$272" noThreeD="1" sel="1" val="0"/>
</file>

<file path=xl/ctrlProps/ctrlProp70.xml><?xml version="1.0" encoding="utf-8"?>
<formControlPr xmlns="http://schemas.microsoft.com/office/spreadsheetml/2009/9/main" objectType="Label" lockText="1"/>
</file>

<file path=xl/ctrlProps/ctrlProp71.xml><?xml version="1.0" encoding="utf-8"?>
<formControlPr xmlns="http://schemas.microsoft.com/office/spreadsheetml/2009/9/main" objectType="Drop" dropStyle="combo" dx="22" fmlaLink="$O$99" fmlaRange="Options!$A$274:$A$278" noThreeD="1" sel="1" val="0"/>
</file>

<file path=xl/ctrlProps/ctrlProp72.xml><?xml version="1.0" encoding="utf-8"?>
<formControlPr xmlns="http://schemas.microsoft.com/office/spreadsheetml/2009/9/main" objectType="Label" lockText="1"/>
</file>

<file path=xl/ctrlProps/ctrlProp73.xml><?xml version="1.0" encoding="utf-8"?>
<formControlPr xmlns="http://schemas.microsoft.com/office/spreadsheetml/2009/9/main" objectType="Drop" dropStyle="combo" dx="22" fmlaLink="$O$61" fmlaRange="Options!$A$280:$A$287" noThreeD="1" sel="1" val="0"/>
</file>

<file path=xl/ctrlProps/ctrlProp74.xml><?xml version="1.0" encoding="utf-8"?>
<formControlPr xmlns="http://schemas.microsoft.com/office/spreadsheetml/2009/9/main" objectType="GBox" noThreeD="1"/>
</file>

<file path=xl/ctrlProps/ctrlProp75.xml><?xml version="1.0" encoding="utf-8"?>
<formControlPr xmlns="http://schemas.microsoft.com/office/spreadsheetml/2009/9/main" objectType="CheckBox" fmlaLink="$O$103" lockText="1" noThreeD="1"/>
</file>

<file path=xl/ctrlProps/ctrlProp76.xml><?xml version="1.0" encoding="utf-8"?>
<formControlPr xmlns="http://schemas.microsoft.com/office/spreadsheetml/2009/9/main" objectType="CheckBox" fmlaLink="$O$104" lockText="1" noThreeD="1"/>
</file>

<file path=xl/ctrlProps/ctrlProp77.xml><?xml version="1.0" encoding="utf-8"?>
<formControlPr xmlns="http://schemas.microsoft.com/office/spreadsheetml/2009/9/main" objectType="CheckBox" fmlaLink="$O$105" lockText="1" noThreeD="1"/>
</file>

<file path=xl/ctrlProps/ctrlProp78.xml><?xml version="1.0" encoding="utf-8"?>
<formControlPr xmlns="http://schemas.microsoft.com/office/spreadsheetml/2009/9/main" objectType="CheckBox" fmlaLink="$O$106" lockText="1" noThreeD="1"/>
</file>

<file path=xl/ctrlProps/ctrlProp79.xml><?xml version="1.0" encoding="utf-8"?>
<formControlPr xmlns="http://schemas.microsoft.com/office/spreadsheetml/2009/9/main" objectType="CheckBox" fmlaLink="$O$107" lockText="1" noThreeD="1"/>
</file>

<file path=xl/ctrlProps/ctrlProp80.xml><?xml version="1.0" encoding="utf-8"?>
<formControlPr xmlns="http://schemas.microsoft.com/office/spreadsheetml/2009/9/main" objectType="Label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Label" lockText="1"/>
</file>

<file path=xl/ctrlProps/ctrlProp83.xml><?xml version="1.0" encoding="utf-8"?>
<formControlPr xmlns="http://schemas.microsoft.com/office/spreadsheetml/2009/9/main" objectType="Label" lockText="1"/>
</file>

<file path=xl/ctrlProps/ctrlProp84.xml><?xml version="1.0" encoding="utf-8"?>
<formControlPr xmlns="http://schemas.microsoft.com/office/spreadsheetml/2009/9/main" objectType="GBox" noThreeD="1"/>
</file>

<file path=xl/ctrlProps/ctrlProp85.xml><?xml version="1.0" encoding="utf-8"?>
<formControlPr xmlns="http://schemas.microsoft.com/office/spreadsheetml/2009/9/main" objectType="Label" lockText="1"/>
</file>

<file path=xl/ctrlProps/ctrlProp86.xml><?xml version="1.0" encoding="utf-8"?>
<formControlPr xmlns="http://schemas.microsoft.com/office/spreadsheetml/2009/9/main" objectType="GBox" noThreeD="1"/>
</file>

<file path=xl/ctrlProps/ctrlProp87.xml><?xml version="1.0" encoding="utf-8"?>
<formControlPr xmlns="http://schemas.microsoft.com/office/spreadsheetml/2009/9/main" objectType="Drop" dropStyle="combo" dx="22" fmlaLink="$O$186" fmlaRange="Options!$A$296:$A$298" noThreeD="1" sel="1" val="0"/>
</file>

<file path=xl/ctrlProps/ctrlProp88.xml><?xml version="1.0" encoding="utf-8"?>
<formControlPr xmlns="http://schemas.microsoft.com/office/spreadsheetml/2009/9/main" objectType="Label" lockText="1"/>
</file>

<file path=xl/ctrlProps/ctrlProp89.xml><?xml version="1.0" encoding="utf-8"?>
<formControlPr xmlns="http://schemas.microsoft.com/office/spreadsheetml/2009/9/main" objectType="GBox" noThreeD="1"/>
</file>

<file path=xl/ctrlProps/ctrlProp90.xml><?xml version="1.0" encoding="utf-8"?>
<formControlPr xmlns="http://schemas.microsoft.com/office/spreadsheetml/2009/9/main" objectType="Drop" dropStyle="combo" dx="22" fmlaLink="$O$153" fmlaRange="Options!$A$153:$A$159" noThreeD="1" sel="1" val="0"/>
</file>

<file path=xl/ctrlProps/ctrlProp91.xml><?xml version="1.0" encoding="utf-8"?>
<formControlPr xmlns="http://schemas.microsoft.com/office/spreadsheetml/2009/9/main" objectType="GBox" noThreeD="1"/>
</file>

<file path=xl/ctrlProps/ctrlProp92.xml><?xml version="1.0" encoding="utf-8"?>
<formControlPr xmlns="http://schemas.microsoft.com/office/spreadsheetml/2009/9/main" objectType="Label" lockText="1"/>
</file>

<file path=xl/ctrlProps/ctrlProp93.xml><?xml version="1.0" encoding="utf-8"?>
<formControlPr xmlns="http://schemas.microsoft.com/office/spreadsheetml/2009/9/main" objectType="Label" lockText="1"/>
</file>

<file path=xl/ctrlProps/ctrlProp94.xml><?xml version="1.0" encoding="utf-8"?>
<formControlPr xmlns="http://schemas.microsoft.com/office/spreadsheetml/2009/9/main" objectType="Label" lockText="1"/>
</file>

<file path=xl/ctrlProps/ctrlProp95.xml><?xml version="1.0" encoding="utf-8"?>
<formControlPr xmlns="http://schemas.microsoft.com/office/spreadsheetml/2009/9/main" objectType="Drop" dropStyle="combo" dx="22" fmlaLink="$O$155" fmlaRange="Options!$A$172:$A$176" noThreeD="1" sel="1" val="0"/>
</file>

<file path=xl/ctrlProps/ctrlProp96.xml><?xml version="1.0" encoding="utf-8"?>
<formControlPr xmlns="http://schemas.microsoft.com/office/spreadsheetml/2009/9/main" objectType="Drop" dropStyle="combo" dx="22" fmlaLink="$O$157" fmlaRange="Options!$A$178:$A$183" noThreeD="1" sel="1" val="0"/>
</file>

<file path=xl/ctrlProps/ctrlProp97.xml><?xml version="1.0" encoding="utf-8"?>
<formControlPr xmlns="http://schemas.microsoft.com/office/spreadsheetml/2009/9/main" objectType="Drop" dropStyle="combo" dx="22" fmlaLink="$O$159" fmlaRange="Options!$A$185:$A$191" noThreeD="1" sel="1" val="0"/>
</file>

<file path=xl/ctrlProps/ctrlProp98.xml><?xml version="1.0" encoding="utf-8"?>
<formControlPr xmlns="http://schemas.microsoft.com/office/spreadsheetml/2009/9/main" objectType="Drop" dropStyle="combo" dx="22" fmlaLink="$O$167" fmlaRange="Options!$A$216:$A$220" noThreeD="1" sel="1" val="0"/>
</file>

<file path=xl/ctrlProps/ctrlProp99.xml><?xml version="1.0" encoding="utf-8"?>
<formControlPr xmlns="http://schemas.microsoft.com/office/spreadsheetml/2009/9/main" objectType="Drop" dropStyle="combo" dx="22" fmlaLink="$O$171" fmlaRange="Options!$A$228:$A$231" noThreeD="1" sel="1" val="0"/>
</file>

<file path=xl/ctrlProps/ctrlProp100.xml><?xml version="1.0" encoding="utf-8"?>
<formControlPr xmlns="http://schemas.microsoft.com/office/spreadsheetml/2009/9/main" objectType="CheckBox" fmlaLink="$O$175" lockText="1" noThreeD="1"/>
</file>

<file path=xl/ctrlProps/ctrlProp101.xml><?xml version="1.0" encoding="utf-8"?>
<formControlPr xmlns="http://schemas.microsoft.com/office/spreadsheetml/2009/9/main" objectType="CheckBox" fmlaLink="$O$176" lockText="1" noThreeD="1"/>
</file>

<file path=xl/ctrlProps/ctrlProp102.xml><?xml version="1.0" encoding="utf-8"?>
<formControlPr xmlns="http://schemas.microsoft.com/office/spreadsheetml/2009/9/main" objectType="CheckBox" fmlaLink="$O$177" lockText="1" noThreeD="1"/>
</file>

<file path=xl/ctrlProps/ctrlProp103.xml><?xml version="1.0" encoding="utf-8"?>
<formControlPr xmlns="http://schemas.microsoft.com/office/spreadsheetml/2009/9/main" objectType="CheckBox" fmlaLink="$O$178" lockText="1" noThreeD="1"/>
</file>

<file path=xl/ctrlProps/ctrlProp104.xml><?xml version="1.0" encoding="utf-8"?>
<formControlPr xmlns="http://schemas.microsoft.com/office/spreadsheetml/2009/9/main" objectType="Label" lockText="1"/>
</file>

<file path=xl/ctrlProps/ctrlProp105.xml><?xml version="1.0" encoding="utf-8"?>
<formControlPr xmlns="http://schemas.microsoft.com/office/spreadsheetml/2009/9/main" objectType="GBox" noThreeD="1"/>
</file>

<file path=xl/ctrlProps/ctrlProp106.xml><?xml version="1.0" encoding="utf-8"?>
<formControlPr xmlns="http://schemas.microsoft.com/office/spreadsheetml/2009/9/main" objectType="CheckBox" fmlaLink="$O$125" lockText="1" noThreeD="1"/>
</file>

<file path=xl/ctrlProps/ctrlProp107.xml><?xml version="1.0" encoding="utf-8"?>
<formControlPr xmlns="http://schemas.microsoft.com/office/spreadsheetml/2009/9/main" objectType="CheckBox" fmlaLink="$O$126" lockText="1" noThreeD="1"/>
</file>

<file path=xl/ctrlProps/ctrlProp108.xml><?xml version="1.0" encoding="utf-8"?>
<formControlPr xmlns="http://schemas.microsoft.com/office/spreadsheetml/2009/9/main" objectType="CheckBox" fmlaLink="$O$127" lockText="1" noThreeD="1"/>
</file>

<file path=xl/ctrlProps/ctrlProp109.xml><?xml version="1.0" encoding="utf-8"?>
<formControlPr xmlns="http://schemas.microsoft.com/office/spreadsheetml/2009/9/main" objectType="CheckBox" fmlaLink="$O$128" lockText="1" noThreeD="1"/>
</file>

<file path=xl/ctrlProps/ctrlProp110.xml><?xml version="1.0" encoding="utf-8"?>
<formControlPr xmlns="http://schemas.microsoft.com/office/spreadsheetml/2009/9/main" objectType="CheckBox" fmlaLink="$O$129" lockText="1" noThreeD="1"/>
</file>

<file path=xl/ctrlProps/ctrlProp111.xml><?xml version="1.0" encoding="utf-8"?>
<formControlPr xmlns="http://schemas.microsoft.com/office/spreadsheetml/2009/9/main" objectType="CheckBox" fmlaLink="$O$130" lockText="1" noThreeD="1"/>
</file>

<file path=xl/ctrlProps/ctrlProp112.xml><?xml version="1.0" encoding="utf-8"?>
<formControlPr xmlns="http://schemas.microsoft.com/office/spreadsheetml/2009/9/main" objectType="CheckBox" fmlaLink="$O$131" lockText="1" noThreeD="1"/>
</file>

<file path=xl/ctrlProps/ctrlProp113.xml><?xml version="1.0" encoding="utf-8"?>
<formControlPr xmlns="http://schemas.microsoft.com/office/spreadsheetml/2009/9/main" objectType="CheckBox" fmlaLink="$O$132" lockText="1" noThreeD="1"/>
</file>

<file path=xl/ctrlProps/ctrlProp114.xml><?xml version="1.0" encoding="utf-8"?>
<formControlPr xmlns="http://schemas.microsoft.com/office/spreadsheetml/2009/9/main" objectType="CheckBox" fmlaLink="$O$133" lockText="1" noThreeD="1"/>
</file>

<file path=xl/ctrlProps/ctrlProp115.xml><?xml version="1.0" encoding="utf-8"?>
<formControlPr xmlns="http://schemas.microsoft.com/office/spreadsheetml/2009/9/main" objectType="CheckBox" fmlaLink="$O$134" lockText="1" noThreeD="1"/>
</file>

<file path=xl/ctrlProps/ctrlProp116.xml><?xml version="1.0" encoding="utf-8"?>
<formControlPr xmlns="http://schemas.microsoft.com/office/spreadsheetml/2009/9/main" objectType="CheckBox" fmlaLink="$O$135" lockText="1" noThreeD="1"/>
</file>

<file path=xl/ctrlProps/ctrlProp117.xml><?xml version="1.0" encoding="utf-8"?>
<formControlPr xmlns="http://schemas.microsoft.com/office/spreadsheetml/2009/9/main" objectType="CheckBox" fmlaLink="$O$136" lockText="1" noThreeD="1"/>
</file>

<file path=xl/ctrlProps/ctrlProp118.xml><?xml version="1.0" encoding="utf-8"?>
<formControlPr xmlns="http://schemas.microsoft.com/office/spreadsheetml/2009/9/main" objectType="CheckBox" fmlaLink="$O$137" lockText="1" noThreeD="1"/>
</file>

<file path=xl/ctrlProps/ctrlProp119.xml><?xml version="1.0" encoding="utf-8"?>
<formControlPr xmlns="http://schemas.microsoft.com/office/spreadsheetml/2009/9/main" objectType="CheckBox" fmlaLink="$O$138" lockText="1" noThreeD="1"/>
</file>

<file path=xl/ctrlProps/ctrlProp120.xml><?xml version="1.0" encoding="utf-8"?>
<formControlPr xmlns="http://schemas.microsoft.com/office/spreadsheetml/2009/9/main" objectType="CheckBox" fmlaLink="$O$139" lockText="1" noThreeD="1"/>
</file>

<file path=xl/ctrlProps/ctrlProp121.xml><?xml version="1.0" encoding="utf-8"?>
<formControlPr xmlns="http://schemas.microsoft.com/office/spreadsheetml/2009/9/main" objectType="CheckBox" fmlaLink="$O$140" lockText="1" noThreeD="1"/>
</file>

<file path=xl/ctrlProps/ctrlProp122.xml><?xml version="1.0" encoding="utf-8"?>
<formControlPr xmlns="http://schemas.microsoft.com/office/spreadsheetml/2009/9/main" objectType="CheckBox" fmlaLink="$O$141" lockText="1" noThreeD="1"/>
</file>

<file path=xl/ctrlProps/ctrlProp123.xml><?xml version="1.0" encoding="utf-8"?>
<formControlPr xmlns="http://schemas.microsoft.com/office/spreadsheetml/2009/9/main" objectType="CheckBox" fmlaLink="$O$142" lockText="1" noThreeD="1"/>
</file>

<file path=xl/ctrlProps/ctrlProp124.xml><?xml version="1.0" encoding="utf-8"?>
<formControlPr xmlns="http://schemas.microsoft.com/office/spreadsheetml/2009/9/main" objectType="CheckBox" fmlaLink="$O$143" lockText="1" noThreeD="1"/>
</file>

<file path=xl/ctrlProps/ctrlProp125.xml><?xml version="1.0" encoding="utf-8"?>
<formControlPr xmlns="http://schemas.microsoft.com/office/spreadsheetml/2009/9/main" objectType="CheckBox" fmlaLink="$O$144" lockText="1" noThreeD="1"/>
</file>

<file path=xl/ctrlProps/ctrlProp126.xml><?xml version="1.0" encoding="utf-8"?>
<formControlPr xmlns="http://schemas.microsoft.com/office/spreadsheetml/2009/9/main" objectType="CheckBox" fmlaLink="$O$145" lockText="1" noThreeD="1"/>
</file>

<file path=xl/ctrlProps/ctrlProp127.xml><?xml version="1.0" encoding="utf-8"?>
<formControlPr xmlns="http://schemas.microsoft.com/office/spreadsheetml/2009/9/main" objectType="CheckBox" fmlaLink="$O$146" lockText="1" noThreeD="1"/>
</file>

<file path=xl/ctrlProps/ctrlProp128.xml><?xml version="1.0" encoding="utf-8"?>
<formControlPr xmlns="http://schemas.microsoft.com/office/spreadsheetml/2009/9/main" objectType="CheckBox" fmlaLink="$O$147" lockText="1" noThreeD="1"/>
</file>

<file path=xl/ctrlProps/ctrlProp129.xml><?xml version="1.0" encoding="utf-8"?>
<formControlPr xmlns="http://schemas.microsoft.com/office/spreadsheetml/2009/9/main" objectType="CheckBox" fmlaLink="$O$148" lockText="1" noThreeD="1"/>
</file>

<file path=xl/ctrlProps/ctrlProp130.xml><?xml version="1.0" encoding="utf-8"?>
<formControlPr xmlns="http://schemas.microsoft.com/office/spreadsheetml/2009/9/main" objectType="CheckBox" fmlaLink="$O$149" lockText="1" noThreeD="1"/>
</file>

<file path=xl/ctrlProps/ctrlProp131.xml><?xml version="1.0" encoding="utf-8"?>
<formControlPr xmlns="http://schemas.microsoft.com/office/spreadsheetml/2009/9/main" objectType="CheckBox" fmlaLink="$O$150" lockText="1" noThreeD="1"/>
</file>

<file path=xl/ctrlProps/ctrlProp132.xml><?xml version="1.0" encoding="utf-8"?>
<formControlPr xmlns="http://schemas.microsoft.com/office/spreadsheetml/2009/9/main" objectType="CheckBox" fmlaLink="$O$151" lockText="1" noThreeD="1"/>
</file>

<file path=xl/ctrlProps/ctrlProp133.xml><?xml version="1.0" encoding="utf-8"?>
<formControlPr xmlns="http://schemas.microsoft.com/office/spreadsheetml/2009/9/main" objectType="GBox" noThreeD="1"/>
</file>

<file path=xl/ctrlProps/ctrlProp134.xml><?xml version="1.0" encoding="utf-8"?>
<formControlPr xmlns="http://schemas.microsoft.com/office/spreadsheetml/2009/9/main" objectType="Drop" dropStyle="combo" dx="22" fmlaLink="$O$169" fmlaRange="Options!$A$222:$A$226" noThreeD="1" sel="1" val="0"/>
</file>

<file path=xl/ctrlProps/ctrlProp135.xml><?xml version="1.0" encoding="utf-8"?>
<formControlPr xmlns="http://schemas.microsoft.com/office/spreadsheetml/2009/9/main" objectType="GBox" noThreeD="1"/>
</file>

<file path=xl/ctrlProps/ctrlProp136.xml><?xml version="1.0" encoding="utf-8"?>
<formControlPr xmlns="http://schemas.microsoft.com/office/spreadsheetml/2009/9/main" objectType="Label" lockText="1"/>
</file>

<file path=xl/ctrlProps/ctrlProp137.xml><?xml version="1.0" encoding="utf-8"?>
<formControlPr xmlns="http://schemas.microsoft.com/office/spreadsheetml/2009/9/main" objectType="GBox" noThreeD="1"/>
</file>

<file path=xl/ctrlProps/ctrlProp138.xml><?xml version="1.0" encoding="utf-8"?>
<formControlPr xmlns="http://schemas.microsoft.com/office/spreadsheetml/2009/9/main" objectType="GBox" noThreeD="1"/>
</file>

<file path=xl/ctrlProps/ctrlProp139.xml><?xml version="1.0" encoding="utf-8"?>
<formControlPr xmlns="http://schemas.microsoft.com/office/spreadsheetml/2009/9/main" objectType="GBox" noThreeD="1"/>
</file>

<file path=xl/ctrlProps/ctrlProp140.xml><?xml version="1.0" encoding="utf-8"?>
<formControlPr xmlns="http://schemas.microsoft.com/office/spreadsheetml/2009/9/main" objectType="GBox" noThreeD="1"/>
</file>

<file path=xl/ctrlProps/ctrlProp141.xml><?xml version="1.0" encoding="utf-8"?>
<formControlPr xmlns="http://schemas.microsoft.com/office/spreadsheetml/2009/9/main" objectType="Label" lockText="1"/>
</file>

<file path=xl/ctrlProps/ctrlProp142.xml><?xml version="1.0" encoding="utf-8"?>
<formControlPr xmlns="http://schemas.microsoft.com/office/spreadsheetml/2009/9/main" objectType="Label" lockText="1"/>
</file>

<file path=xl/ctrlProps/ctrlProp143.xml><?xml version="1.0" encoding="utf-8"?>
<formControlPr xmlns="http://schemas.microsoft.com/office/spreadsheetml/2009/9/main" objectType="Label" lockText="1"/>
</file>

<file path=xl/ctrlProps/ctrlProp144.xml><?xml version="1.0" encoding="utf-8"?>
<formControlPr xmlns="http://schemas.microsoft.com/office/spreadsheetml/2009/9/main" objectType="GBox" noThreeD="1"/>
</file>

<file path=xl/ctrlProps/ctrlProp145.xml><?xml version="1.0" encoding="utf-8"?>
<formControlPr xmlns="http://schemas.microsoft.com/office/spreadsheetml/2009/9/main" objectType="GBox" noThreeD="1"/>
</file>

<file path=xl/ctrlProps/ctrlProp146.xml><?xml version="1.0" encoding="utf-8"?>
<formControlPr xmlns="http://schemas.microsoft.com/office/spreadsheetml/2009/9/main" objectType="Label" lockText="1"/>
</file>

<file path=xl/ctrlProps/ctrlProp147.xml><?xml version="1.0" encoding="utf-8"?>
<formControlPr xmlns="http://schemas.microsoft.com/office/spreadsheetml/2009/9/main" objectType="GBox" noThreeD="1"/>
</file>

<file path=xl/ctrlProps/ctrlProp148.xml><?xml version="1.0" encoding="utf-8"?>
<formControlPr xmlns="http://schemas.microsoft.com/office/spreadsheetml/2009/9/main" objectType="Label" lockText="1"/>
</file>

<file path=xl/ctrlProps/ctrlProp149.xml><?xml version="1.0" encoding="utf-8"?>
<formControlPr xmlns="http://schemas.microsoft.com/office/spreadsheetml/2009/9/main" objectType="Drop" dropStyle="combo" dx="22" fmlaLink="$O$163" fmlaRange="Options!$A$280:$A$287" noThreeD="1" sel="1" val="0"/>
</file>

<file path=xl/ctrlProps/ctrlProp150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9.emf"/><Relationship Id="rId5" Type="http://schemas.openxmlformats.org/officeDocument/2006/relationships/image" Target="../media/image5.emf"/><Relationship Id="rId10" Type="http://schemas.openxmlformats.org/officeDocument/2006/relationships/image" Target="../media/image11.emf"/><Relationship Id="rId4" Type="http://schemas.openxmlformats.org/officeDocument/2006/relationships/image" Target="../media/image4.emf"/><Relationship Id="rId9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7173" name="Group Box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</xdr:row>
          <xdr:rowOff>0</xdr:rowOff>
        </xdr:from>
        <xdr:to>
          <xdr:col>3</xdr:col>
          <xdr:colOff>0</xdr:colOff>
          <xdr:row>5</xdr:row>
          <xdr:rowOff>85725</xdr:rowOff>
        </xdr:to>
        <xdr:sp macro="" textlink="">
          <xdr:nvSpPr>
            <xdr:cNvPr id="7174" name="Option 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Male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4</xdr:col>
          <xdr:colOff>485775</xdr:colOff>
          <xdr:row>5</xdr:row>
          <xdr:rowOff>85725</xdr:rowOff>
        </xdr:to>
        <xdr:sp macro="" textlink="">
          <xdr:nvSpPr>
            <xdr:cNvPr id="7177" name="Option Button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Female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5</xdr:col>
          <xdr:colOff>653611</xdr:colOff>
          <xdr:row>10</xdr:row>
          <xdr:rowOff>0</xdr:rowOff>
        </xdr:to>
        <xdr:sp macro="" textlink="">
          <xdr:nvSpPr>
            <xdr:cNvPr id="7178" name="Group Box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5</xdr:col>
          <xdr:colOff>653611</xdr:colOff>
          <xdr:row>14</xdr:row>
          <xdr:rowOff>0</xdr:rowOff>
        </xdr:to>
        <xdr:sp macro="" textlink="">
          <xdr:nvSpPr>
            <xdr:cNvPr id="7180" name="Group Box 12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Ethnicity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7181" name="Drop Down 1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0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5</xdr:col>
          <xdr:colOff>653611</xdr:colOff>
          <xdr:row>18</xdr:row>
          <xdr:rowOff>0</xdr:rowOff>
        </xdr:to>
        <xdr:sp macro="" textlink="">
          <xdr:nvSpPr>
            <xdr:cNvPr id="7182" name="Group Box 14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0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Religious Affiliation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409575</xdr:colOff>
          <xdr:row>15</xdr:row>
          <xdr:rowOff>190500</xdr:rowOff>
        </xdr:from>
        <xdr:to>
          <xdr:col>5</xdr:col>
          <xdr:colOff>200025</xdr:colOff>
          <xdr:row>17</xdr:row>
          <xdr:rowOff>328</xdr:rowOff>
        </xdr:to>
        <xdr:sp macro="" textlink="">
          <xdr:nvSpPr>
            <xdr:cNvPr id="7183" name="Drop Down 15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0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47</xdr:row>
          <xdr:rowOff>0</xdr:rowOff>
        </xdr:from>
        <xdr:to>
          <xdr:col>6</xdr:col>
          <xdr:colOff>1</xdr:colOff>
          <xdr:row>50</xdr:row>
          <xdr:rowOff>0</xdr:rowOff>
        </xdr:to>
        <xdr:sp macro="" textlink="">
          <xdr:nvSpPr>
            <xdr:cNvPr id="7185" name="Group Box 17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0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Mobility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285750</xdr:colOff>
          <xdr:row>48</xdr:row>
          <xdr:rowOff>0</xdr:rowOff>
        </xdr:from>
        <xdr:to>
          <xdr:col>5</xdr:col>
          <xdr:colOff>66675</xdr:colOff>
          <xdr:row>48</xdr:row>
          <xdr:rowOff>180647</xdr:rowOff>
        </xdr:to>
        <xdr:sp macro="" textlink="">
          <xdr:nvSpPr>
            <xdr:cNvPr id="7187" name="Drop Down 19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00000000-0008-0000-0000-00001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35</xdr:row>
          <xdr:rowOff>0</xdr:rowOff>
        </xdr:from>
        <xdr:to>
          <xdr:col>8</xdr:col>
          <xdr:colOff>0</xdr:colOff>
          <xdr:row>40</xdr:row>
          <xdr:rowOff>0</xdr:rowOff>
        </xdr:to>
        <xdr:sp macro="" textlink="">
          <xdr:nvSpPr>
            <xdr:cNvPr id="7188" name="Group Box 20" hidden="1">
              <a:extLst>
                <a:ext uri="{63B3BB69-23CF-44E3-9099-C40C66FF867C}">
                  <a14:compatExt spid="_x0000_s7188"/>
                </a:ext>
                <a:ext uri="{FF2B5EF4-FFF2-40B4-BE49-F238E27FC236}">
                  <a16:creationId xmlns:a16="http://schemas.microsoft.com/office/drawing/2014/main" id="{00000000-0008-0000-0000-00001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Notable Lab Results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51</xdr:row>
          <xdr:rowOff>0</xdr:rowOff>
        </xdr:from>
        <xdr:to>
          <xdr:col>7</xdr:col>
          <xdr:colOff>0</xdr:colOff>
          <xdr:row>61</xdr:row>
          <xdr:rowOff>0</xdr:rowOff>
        </xdr:to>
        <xdr:sp macro="" textlink="">
          <xdr:nvSpPr>
            <xdr:cNvPr id="7190" name="Group Box 22" hidden="1">
              <a:extLst>
                <a:ext uri="{63B3BB69-23CF-44E3-9099-C40C66FF867C}">
                  <a14:compatExt spid="_x0000_s7190"/>
                </a:ext>
                <a:ext uri="{FF2B5EF4-FFF2-40B4-BE49-F238E27FC236}">
                  <a16:creationId xmlns:a16="http://schemas.microsoft.com/office/drawing/2014/main" id="{00000000-0008-0000-0000-00001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Glasgow Coma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52</xdr:row>
          <xdr:rowOff>0</xdr:rowOff>
        </xdr:from>
        <xdr:to>
          <xdr:col>3</xdr:col>
          <xdr:colOff>400050</xdr:colOff>
          <xdr:row>53</xdr:row>
          <xdr:rowOff>0</xdr:rowOff>
        </xdr:to>
        <xdr:sp macro="" textlink="">
          <xdr:nvSpPr>
            <xdr:cNvPr id="7191" name="Label 23" hidden="1">
              <a:extLst>
                <a:ext uri="{63B3BB69-23CF-44E3-9099-C40C66FF867C}">
                  <a14:compatExt spid="_x0000_s7191"/>
                </a:ext>
                <a:ext uri="{FF2B5EF4-FFF2-40B4-BE49-F238E27FC236}">
                  <a16:creationId xmlns:a16="http://schemas.microsoft.com/office/drawing/2014/main" id="{00000000-0008-0000-0000-00001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Eye Opening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54</xdr:row>
          <xdr:rowOff>0</xdr:rowOff>
        </xdr:from>
        <xdr:to>
          <xdr:col>3</xdr:col>
          <xdr:colOff>0</xdr:colOff>
          <xdr:row>55</xdr:row>
          <xdr:rowOff>0</xdr:rowOff>
        </xdr:to>
        <xdr:sp macro="" textlink="">
          <xdr:nvSpPr>
            <xdr:cNvPr id="7192" name="Label 24" hidden="1">
              <a:extLst>
                <a:ext uri="{63B3BB69-23CF-44E3-9099-C40C66FF867C}">
                  <a14:compatExt spid="_x0000_s7192"/>
                </a:ext>
                <a:ext uri="{FF2B5EF4-FFF2-40B4-BE49-F238E27FC236}">
                  <a16:creationId xmlns:a16="http://schemas.microsoft.com/office/drawing/2014/main" id="{00000000-0008-0000-0000-00001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Verbal Response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0</xdr:rowOff>
        </xdr:from>
        <xdr:to>
          <xdr:col>3</xdr:col>
          <xdr:colOff>400050</xdr:colOff>
          <xdr:row>57</xdr:row>
          <xdr:rowOff>0</xdr:rowOff>
        </xdr:to>
        <xdr:sp macro="" textlink="">
          <xdr:nvSpPr>
            <xdr:cNvPr id="7193" name="Label 25" hidden="1">
              <a:extLst>
                <a:ext uri="{63B3BB69-23CF-44E3-9099-C40C66FF867C}">
                  <a14:compatExt spid="_x0000_s7193"/>
                </a:ext>
                <a:ext uri="{FF2B5EF4-FFF2-40B4-BE49-F238E27FC236}">
                  <a16:creationId xmlns:a16="http://schemas.microsoft.com/office/drawing/2014/main" id="{00000000-0008-0000-0000-00001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Motor Response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52</xdr:row>
          <xdr:rowOff>0</xdr:rowOff>
        </xdr:from>
        <xdr:to>
          <xdr:col>5</xdr:col>
          <xdr:colOff>653611</xdr:colOff>
          <xdr:row>53</xdr:row>
          <xdr:rowOff>0</xdr:rowOff>
        </xdr:to>
        <xdr:sp macro="" textlink="">
          <xdr:nvSpPr>
            <xdr:cNvPr id="7194" name="Drop Down 26" hidden="1">
              <a:extLst>
                <a:ext uri="{63B3BB69-23CF-44E3-9099-C40C66FF867C}">
                  <a14:compatExt spid="_x0000_s7194"/>
                </a:ext>
                <a:ext uri="{FF2B5EF4-FFF2-40B4-BE49-F238E27FC236}">
                  <a16:creationId xmlns:a16="http://schemas.microsoft.com/office/drawing/2014/main" id="{00000000-0008-0000-0000-00001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53</xdr:row>
          <xdr:rowOff>180975</xdr:rowOff>
        </xdr:from>
        <xdr:to>
          <xdr:col>5</xdr:col>
          <xdr:colOff>653611</xdr:colOff>
          <xdr:row>55</xdr:row>
          <xdr:rowOff>0</xdr:rowOff>
        </xdr:to>
        <xdr:sp macro="" textlink="">
          <xdr:nvSpPr>
            <xdr:cNvPr id="7195" name="Drop Down 27" hidden="1">
              <a:extLst>
                <a:ext uri="{63B3BB69-23CF-44E3-9099-C40C66FF867C}">
                  <a14:compatExt spid="_x0000_s7195"/>
                </a:ext>
                <a:ext uri="{FF2B5EF4-FFF2-40B4-BE49-F238E27FC236}">
                  <a16:creationId xmlns:a16="http://schemas.microsoft.com/office/drawing/2014/main" id="{00000000-0008-0000-0000-00001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55</xdr:row>
          <xdr:rowOff>180975</xdr:rowOff>
        </xdr:from>
        <xdr:to>
          <xdr:col>5</xdr:col>
          <xdr:colOff>653611</xdr:colOff>
          <xdr:row>57</xdr:row>
          <xdr:rowOff>0</xdr:rowOff>
        </xdr:to>
        <xdr:sp macro="" textlink="">
          <xdr:nvSpPr>
            <xdr:cNvPr id="7196" name="Drop Down 28" hidden="1">
              <a:extLst>
                <a:ext uri="{63B3BB69-23CF-44E3-9099-C40C66FF867C}">
                  <a14:compatExt spid="_x0000_s7196"/>
                </a:ext>
                <a:ext uri="{FF2B5EF4-FFF2-40B4-BE49-F238E27FC236}">
                  <a16:creationId xmlns:a16="http://schemas.microsoft.com/office/drawing/2014/main" id="{00000000-0008-0000-0000-00001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58</xdr:row>
          <xdr:rowOff>0</xdr:rowOff>
        </xdr:from>
        <xdr:to>
          <xdr:col>3</xdr:col>
          <xdr:colOff>400050</xdr:colOff>
          <xdr:row>59</xdr:row>
          <xdr:rowOff>0</xdr:rowOff>
        </xdr:to>
        <xdr:sp macro="" textlink="">
          <xdr:nvSpPr>
            <xdr:cNvPr id="7197" name="Label 29" hidden="1">
              <a:extLst>
                <a:ext uri="{63B3BB69-23CF-44E3-9099-C40C66FF867C}">
                  <a14:compatExt spid="_x0000_s7197"/>
                </a:ext>
                <a:ext uri="{FF2B5EF4-FFF2-40B4-BE49-F238E27FC236}">
                  <a16:creationId xmlns:a16="http://schemas.microsoft.com/office/drawing/2014/main" id="{00000000-0008-0000-0000-00001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Score: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41</xdr:row>
          <xdr:rowOff>0</xdr:rowOff>
        </xdr:from>
        <xdr:to>
          <xdr:col>8</xdr:col>
          <xdr:colOff>0</xdr:colOff>
          <xdr:row>45</xdr:row>
          <xdr:rowOff>180646</xdr:rowOff>
        </xdr:to>
        <xdr:sp macro="" textlink="">
          <xdr:nvSpPr>
            <xdr:cNvPr id="7198" name="Group Box 30" hidden="1">
              <a:extLst>
                <a:ext uri="{63B3BB69-23CF-44E3-9099-C40C66FF867C}">
                  <a14:compatExt spid="_x0000_s7198"/>
                </a:ext>
                <a:ext uri="{FF2B5EF4-FFF2-40B4-BE49-F238E27FC236}">
                  <a16:creationId xmlns:a16="http://schemas.microsoft.com/office/drawing/2014/main" id="{00000000-0008-0000-0000-00001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Diagnoses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62</xdr:row>
          <xdr:rowOff>0</xdr:rowOff>
        </xdr:from>
        <xdr:to>
          <xdr:col>9</xdr:col>
          <xdr:colOff>0</xdr:colOff>
          <xdr:row>68</xdr:row>
          <xdr:rowOff>180646</xdr:rowOff>
        </xdr:to>
        <xdr:sp macro="" textlink="">
          <xdr:nvSpPr>
            <xdr:cNvPr id="7199" name="Group Box 31" hidden="1">
              <a:extLst>
                <a:ext uri="{63B3BB69-23CF-44E3-9099-C40C66FF867C}">
                  <a14:compatExt spid="_x0000_s7199"/>
                </a:ext>
                <a:ext uri="{FF2B5EF4-FFF2-40B4-BE49-F238E27FC236}">
                  <a16:creationId xmlns:a16="http://schemas.microsoft.com/office/drawing/2014/main" id="{00000000-0008-0000-0000-00001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Memory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63</xdr:row>
          <xdr:rowOff>0</xdr:rowOff>
        </xdr:from>
        <xdr:to>
          <xdr:col>3</xdr:col>
          <xdr:colOff>400050</xdr:colOff>
          <xdr:row>64</xdr:row>
          <xdr:rowOff>0</xdr:rowOff>
        </xdr:to>
        <xdr:sp macro="" textlink="">
          <xdr:nvSpPr>
            <xdr:cNvPr id="7200" name="Label 32" hidden="1">
              <a:extLst>
                <a:ext uri="{63B3BB69-23CF-44E3-9099-C40C66FF867C}">
                  <a14:compatExt spid="_x0000_s7200"/>
                </a:ext>
                <a:ext uri="{FF2B5EF4-FFF2-40B4-BE49-F238E27FC236}">
                  <a16:creationId xmlns:a16="http://schemas.microsoft.com/office/drawing/2014/main" id="{00000000-0008-0000-0000-00002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Long Term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65</xdr:row>
          <xdr:rowOff>9525</xdr:rowOff>
        </xdr:from>
        <xdr:to>
          <xdr:col>3</xdr:col>
          <xdr:colOff>0</xdr:colOff>
          <xdr:row>66</xdr:row>
          <xdr:rowOff>9525</xdr:rowOff>
        </xdr:to>
        <xdr:sp macro="" textlink="">
          <xdr:nvSpPr>
            <xdr:cNvPr id="7201" name="Label 33" hidden="1">
              <a:extLst>
                <a:ext uri="{63B3BB69-23CF-44E3-9099-C40C66FF867C}">
                  <a14:compatExt spid="_x0000_s7201"/>
                </a:ext>
                <a:ext uri="{FF2B5EF4-FFF2-40B4-BE49-F238E27FC236}">
                  <a16:creationId xmlns:a16="http://schemas.microsoft.com/office/drawing/2014/main" id="{00000000-0008-0000-0000-00002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Short Term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67</xdr:row>
          <xdr:rowOff>0</xdr:rowOff>
        </xdr:from>
        <xdr:to>
          <xdr:col>3</xdr:col>
          <xdr:colOff>400050</xdr:colOff>
          <xdr:row>68</xdr:row>
          <xdr:rowOff>0</xdr:rowOff>
        </xdr:to>
        <xdr:sp macro="" textlink="">
          <xdr:nvSpPr>
            <xdr:cNvPr id="7202" name="Label 34" hidden="1">
              <a:extLst>
                <a:ext uri="{63B3BB69-23CF-44E3-9099-C40C66FF867C}">
                  <a14:compatExt spid="_x0000_s7202"/>
                </a:ext>
                <a:ext uri="{FF2B5EF4-FFF2-40B4-BE49-F238E27FC236}">
                  <a16:creationId xmlns:a16="http://schemas.microsoft.com/office/drawing/2014/main" id="{00000000-0008-0000-0000-00002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Recall Speed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63</xdr:row>
          <xdr:rowOff>0</xdr:rowOff>
        </xdr:from>
        <xdr:to>
          <xdr:col>8</xdr:col>
          <xdr:colOff>0</xdr:colOff>
          <xdr:row>64</xdr:row>
          <xdr:rowOff>0</xdr:rowOff>
        </xdr:to>
        <xdr:sp macro="" textlink="">
          <xdr:nvSpPr>
            <xdr:cNvPr id="7203" name="Drop Down 35" hidden="1">
              <a:extLst>
                <a:ext uri="{63B3BB69-23CF-44E3-9099-C40C66FF867C}">
                  <a14:compatExt spid="_x0000_s7203"/>
                </a:ext>
                <a:ext uri="{FF2B5EF4-FFF2-40B4-BE49-F238E27FC236}">
                  <a16:creationId xmlns:a16="http://schemas.microsoft.com/office/drawing/2014/main" id="{00000000-0008-0000-0000-00002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64</xdr:row>
          <xdr:rowOff>180975</xdr:rowOff>
        </xdr:from>
        <xdr:to>
          <xdr:col>8</xdr:col>
          <xdr:colOff>0</xdr:colOff>
          <xdr:row>65</xdr:row>
          <xdr:rowOff>180646</xdr:rowOff>
        </xdr:to>
        <xdr:sp macro="" textlink="">
          <xdr:nvSpPr>
            <xdr:cNvPr id="7204" name="Drop Down 36" hidden="1">
              <a:extLst>
                <a:ext uri="{63B3BB69-23CF-44E3-9099-C40C66FF867C}">
                  <a14:compatExt spid="_x0000_s7204"/>
                </a:ext>
                <a:ext uri="{FF2B5EF4-FFF2-40B4-BE49-F238E27FC236}">
                  <a16:creationId xmlns:a16="http://schemas.microsoft.com/office/drawing/2014/main" id="{00000000-0008-0000-0000-00002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66</xdr:row>
          <xdr:rowOff>180975</xdr:rowOff>
        </xdr:from>
        <xdr:to>
          <xdr:col>8</xdr:col>
          <xdr:colOff>0</xdr:colOff>
          <xdr:row>68</xdr:row>
          <xdr:rowOff>0</xdr:rowOff>
        </xdr:to>
        <xdr:sp macro="" textlink="">
          <xdr:nvSpPr>
            <xdr:cNvPr id="7205" name="Drop Down 37" hidden="1">
              <a:extLst>
                <a:ext uri="{63B3BB69-23CF-44E3-9099-C40C66FF867C}">
                  <a14:compatExt spid="_x0000_s7205"/>
                </a:ext>
                <a:ext uri="{FF2B5EF4-FFF2-40B4-BE49-F238E27FC236}">
                  <a16:creationId xmlns:a16="http://schemas.microsoft.com/office/drawing/2014/main" id="{00000000-0008-0000-0000-00002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70</xdr:row>
          <xdr:rowOff>0</xdr:rowOff>
        </xdr:from>
        <xdr:to>
          <xdr:col>5</xdr:col>
          <xdr:colOff>0</xdr:colOff>
          <xdr:row>77</xdr:row>
          <xdr:rowOff>0</xdr:rowOff>
        </xdr:to>
        <xdr:sp macro="" textlink="">
          <xdr:nvSpPr>
            <xdr:cNvPr id="7206" name="Group Box 38" hidden="1">
              <a:extLst>
                <a:ext uri="{63B3BB69-23CF-44E3-9099-C40C66FF867C}">
                  <a14:compatExt spid="_x0000_s7206"/>
                </a:ext>
                <a:ext uri="{FF2B5EF4-FFF2-40B4-BE49-F238E27FC236}">
                  <a16:creationId xmlns:a16="http://schemas.microsoft.com/office/drawing/2014/main" id="{00000000-0008-0000-0000-00002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Orientation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71</xdr:row>
          <xdr:rowOff>0</xdr:rowOff>
        </xdr:from>
        <xdr:to>
          <xdr:col>3</xdr:col>
          <xdr:colOff>400050</xdr:colOff>
          <xdr:row>72</xdr:row>
          <xdr:rowOff>28575</xdr:rowOff>
        </xdr:to>
        <xdr:sp macro="" textlink="">
          <xdr:nvSpPr>
            <xdr:cNvPr id="7208" name="Check Box 40" hidden="1">
              <a:extLst>
                <a:ext uri="{63B3BB69-23CF-44E3-9099-C40C66FF867C}">
                  <a14:compatExt spid="_x0000_s7208"/>
                </a:ext>
                <a:ext uri="{FF2B5EF4-FFF2-40B4-BE49-F238E27FC236}">
                  <a16:creationId xmlns:a16="http://schemas.microsoft.com/office/drawing/2014/main" id="{00000000-0008-0000-0000-00002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Person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72</xdr:row>
          <xdr:rowOff>0</xdr:rowOff>
        </xdr:from>
        <xdr:to>
          <xdr:col>3</xdr:col>
          <xdr:colOff>200025</xdr:colOff>
          <xdr:row>73</xdr:row>
          <xdr:rowOff>28575</xdr:rowOff>
        </xdr:to>
        <xdr:sp macro="" textlink="">
          <xdr:nvSpPr>
            <xdr:cNvPr id="7209" name="Check Box 41" hidden="1">
              <a:extLst>
                <a:ext uri="{63B3BB69-23CF-44E3-9099-C40C66FF867C}">
                  <a14:compatExt spid="_x0000_s7209"/>
                </a:ext>
                <a:ext uri="{FF2B5EF4-FFF2-40B4-BE49-F238E27FC236}">
                  <a16:creationId xmlns:a16="http://schemas.microsoft.com/office/drawing/2014/main" id="{00000000-0008-0000-0000-00002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Place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73</xdr:row>
          <xdr:rowOff>0</xdr:rowOff>
        </xdr:from>
        <xdr:to>
          <xdr:col>3</xdr:col>
          <xdr:colOff>400050</xdr:colOff>
          <xdr:row>74</xdr:row>
          <xdr:rowOff>28575</xdr:rowOff>
        </xdr:to>
        <xdr:sp macro="" textlink="">
          <xdr:nvSpPr>
            <xdr:cNvPr id="7210" name="Check Box 42" hidden="1">
              <a:extLst>
                <a:ext uri="{63B3BB69-23CF-44E3-9099-C40C66FF867C}">
                  <a14:compatExt spid="_x0000_s7210"/>
                </a:ext>
                <a:ext uri="{FF2B5EF4-FFF2-40B4-BE49-F238E27FC236}">
                  <a16:creationId xmlns:a16="http://schemas.microsoft.com/office/drawing/2014/main" id="{00000000-0008-0000-0000-00002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74</xdr:row>
          <xdr:rowOff>0</xdr:rowOff>
        </xdr:from>
        <xdr:to>
          <xdr:col>3</xdr:col>
          <xdr:colOff>400050</xdr:colOff>
          <xdr:row>75</xdr:row>
          <xdr:rowOff>28575</xdr:rowOff>
        </xdr:to>
        <xdr:sp macro="" textlink="">
          <xdr:nvSpPr>
            <xdr:cNvPr id="7211" name="Check Box 43" hidden="1">
              <a:extLst>
                <a:ext uri="{63B3BB69-23CF-44E3-9099-C40C66FF867C}">
                  <a14:compatExt spid="_x0000_s7211"/>
                </a:ext>
                <a:ext uri="{FF2B5EF4-FFF2-40B4-BE49-F238E27FC236}">
                  <a16:creationId xmlns:a16="http://schemas.microsoft.com/office/drawing/2014/main" id="{00000000-0008-0000-0000-00002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Event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76</xdr:row>
          <xdr:rowOff>0</xdr:rowOff>
        </xdr:from>
        <xdr:to>
          <xdr:col>3</xdr:col>
          <xdr:colOff>0</xdr:colOff>
          <xdr:row>77</xdr:row>
          <xdr:rowOff>0</xdr:rowOff>
        </xdr:to>
        <xdr:sp macro="" textlink="">
          <xdr:nvSpPr>
            <xdr:cNvPr id="7213" name="Label 45" hidden="1">
              <a:extLst>
                <a:ext uri="{63B3BB69-23CF-44E3-9099-C40C66FF867C}">
                  <a14:compatExt spid="_x0000_s7213"/>
                </a:ext>
                <a:ext uri="{FF2B5EF4-FFF2-40B4-BE49-F238E27FC236}">
                  <a16:creationId xmlns:a16="http://schemas.microsoft.com/office/drawing/2014/main" id="{00000000-0008-0000-0000-00002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Score: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9</xdr:col>
          <xdr:colOff>0</xdr:colOff>
          <xdr:row>34</xdr:row>
          <xdr:rowOff>0</xdr:rowOff>
        </xdr:to>
        <xdr:sp macro="" textlink="">
          <xdr:nvSpPr>
            <xdr:cNvPr id="7214" name="Group Box 46" hidden="1">
              <a:extLst>
                <a:ext uri="{63B3BB69-23CF-44E3-9099-C40C66FF867C}">
                  <a14:compatExt spid="_x0000_s7214"/>
                </a:ext>
                <a:ext uri="{FF2B5EF4-FFF2-40B4-BE49-F238E27FC236}">
                  <a16:creationId xmlns:a16="http://schemas.microsoft.com/office/drawing/2014/main" id="{00000000-0008-0000-0000-00002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Symptoms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3</xdr:col>
          <xdr:colOff>581025</xdr:colOff>
          <xdr:row>24</xdr:row>
          <xdr:rowOff>28575</xdr:rowOff>
        </xdr:to>
        <xdr:sp macro="" textlink="">
          <xdr:nvSpPr>
            <xdr:cNvPr id="7216" name="Check Box 48" hidden="1">
              <a:extLst>
                <a:ext uri="{63B3BB69-23CF-44E3-9099-C40C66FF867C}">
                  <a14:compatExt spid="_x0000_s7216"/>
                </a:ext>
                <a:ext uri="{FF2B5EF4-FFF2-40B4-BE49-F238E27FC236}">
                  <a16:creationId xmlns:a16="http://schemas.microsoft.com/office/drawing/2014/main" id="{00000000-0008-0000-0000-00003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Pain - Generalized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3</xdr:col>
          <xdr:colOff>581025</xdr:colOff>
          <xdr:row>25</xdr:row>
          <xdr:rowOff>28575</xdr:rowOff>
        </xdr:to>
        <xdr:sp macro="" textlink="">
          <xdr:nvSpPr>
            <xdr:cNvPr id="7217" name="Check Box 49" hidden="1">
              <a:extLst>
                <a:ext uri="{63B3BB69-23CF-44E3-9099-C40C66FF867C}">
                  <a14:compatExt spid="_x0000_s7217"/>
                </a:ext>
                <a:ext uri="{FF2B5EF4-FFF2-40B4-BE49-F238E27FC236}">
                  <a16:creationId xmlns:a16="http://schemas.microsoft.com/office/drawing/2014/main" id="{00000000-0008-0000-0000-00003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Pain - Localized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180975</xdr:rowOff>
        </xdr:from>
        <xdr:to>
          <xdr:col>3</xdr:col>
          <xdr:colOff>581025</xdr:colOff>
          <xdr:row>26</xdr:row>
          <xdr:rowOff>19050</xdr:rowOff>
        </xdr:to>
        <xdr:sp macro="" textlink="">
          <xdr:nvSpPr>
            <xdr:cNvPr id="7218" name="Check Box 50" hidden="1">
              <a:extLst>
                <a:ext uri="{63B3BB69-23CF-44E3-9099-C40C66FF867C}">
                  <a14:compatExt spid="_x0000_s7218"/>
                </a:ext>
                <a:ext uri="{FF2B5EF4-FFF2-40B4-BE49-F238E27FC236}">
                  <a16:creationId xmlns:a16="http://schemas.microsoft.com/office/drawing/2014/main" id="{00000000-0008-0000-0000-00003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Incontinence of 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180975</xdr:rowOff>
        </xdr:from>
        <xdr:to>
          <xdr:col>3</xdr:col>
          <xdr:colOff>581025</xdr:colOff>
          <xdr:row>27</xdr:row>
          <xdr:rowOff>19050</xdr:rowOff>
        </xdr:to>
        <xdr:sp macro="" textlink="">
          <xdr:nvSpPr>
            <xdr:cNvPr id="7219" name="Check Box 51" hidden="1">
              <a:extLst>
                <a:ext uri="{63B3BB69-23CF-44E3-9099-C40C66FF867C}">
                  <a14:compatExt spid="_x0000_s7219"/>
                </a:ext>
                <a:ext uri="{FF2B5EF4-FFF2-40B4-BE49-F238E27FC236}">
                  <a16:creationId xmlns:a16="http://schemas.microsoft.com/office/drawing/2014/main" id="{00000000-0008-0000-0000-00003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Incontinence of Bowels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26</xdr:row>
          <xdr:rowOff>180975</xdr:rowOff>
        </xdr:from>
        <xdr:to>
          <xdr:col>3</xdr:col>
          <xdr:colOff>581025</xdr:colOff>
          <xdr:row>28</xdr:row>
          <xdr:rowOff>19050</xdr:rowOff>
        </xdr:to>
        <xdr:sp macro="" textlink="">
          <xdr:nvSpPr>
            <xdr:cNvPr id="7220" name="Check Box 52" hidden="1">
              <a:extLst>
                <a:ext uri="{63B3BB69-23CF-44E3-9099-C40C66FF867C}">
                  <a14:compatExt spid="_x0000_s7220"/>
                </a:ext>
                <a:ext uri="{FF2B5EF4-FFF2-40B4-BE49-F238E27FC236}">
                  <a16:creationId xmlns:a16="http://schemas.microsoft.com/office/drawing/2014/main" id="{00000000-0008-0000-0000-00003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Urinary Retention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171450</xdr:rowOff>
        </xdr:from>
        <xdr:to>
          <xdr:col>3</xdr:col>
          <xdr:colOff>581025</xdr:colOff>
          <xdr:row>29</xdr:row>
          <xdr:rowOff>9525</xdr:rowOff>
        </xdr:to>
        <xdr:sp macro="" textlink="">
          <xdr:nvSpPr>
            <xdr:cNvPr id="7221" name="Check Box 53" hidden="1">
              <a:extLst>
                <a:ext uri="{63B3BB69-23CF-44E3-9099-C40C66FF867C}">
                  <a14:compatExt spid="_x0000_s7221"/>
                </a:ext>
                <a:ext uri="{FF2B5EF4-FFF2-40B4-BE49-F238E27FC236}">
                  <a16:creationId xmlns:a16="http://schemas.microsoft.com/office/drawing/2014/main" id="{00000000-0008-0000-0000-00003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Nausea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28</xdr:row>
          <xdr:rowOff>171450</xdr:rowOff>
        </xdr:from>
        <xdr:to>
          <xdr:col>3</xdr:col>
          <xdr:colOff>581025</xdr:colOff>
          <xdr:row>30</xdr:row>
          <xdr:rowOff>9525</xdr:rowOff>
        </xdr:to>
        <xdr:sp macro="" textlink="">
          <xdr:nvSpPr>
            <xdr:cNvPr id="7222" name="Check Box 54" hidden="1">
              <a:extLst>
                <a:ext uri="{63B3BB69-23CF-44E3-9099-C40C66FF867C}">
                  <a14:compatExt spid="_x0000_s7222"/>
                </a:ext>
                <a:ext uri="{FF2B5EF4-FFF2-40B4-BE49-F238E27FC236}">
                  <a16:creationId xmlns:a16="http://schemas.microsoft.com/office/drawing/2014/main" id="{00000000-0008-0000-0000-00003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Vomiting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29</xdr:row>
          <xdr:rowOff>171450</xdr:rowOff>
        </xdr:from>
        <xdr:to>
          <xdr:col>3</xdr:col>
          <xdr:colOff>581025</xdr:colOff>
          <xdr:row>31</xdr:row>
          <xdr:rowOff>9525</xdr:rowOff>
        </xdr:to>
        <xdr:sp macro="" textlink="">
          <xdr:nvSpPr>
            <xdr:cNvPr id="7223" name="Check Box 55" hidden="1">
              <a:extLst>
                <a:ext uri="{63B3BB69-23CF-44E3-9099-C40C66FF867C}">
                  <a14:compatExt spid="_x0000_s7223"/>
                </a:ext>
                <a:ext uri="{FF2B5EF4-FFF2-40B4-BE49-F238E27FC236}">
                  <a16:creationId xmlns:a16="http://schemas.microsoft.com/office/drawing/2014/main" id="{00000000-0008-0000-0000-00003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Diarrhea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30</xdr:row>
          <xdr:rowOff>161925</xdr:rowOff>
        </xdr:from>
        <xdr:to>
          <xdr:col>3</xdr:col>
          <xdr:colOff>581025</xdr:colOff>
          <xdr:row>32</xdr:row>
          <xdr:rowOff>0</xdr:rowOff>
        </xdr:to>
        <xdr:sp macro="" textlink="">
          <xdr:nvSpPr>
            <xdr:cNvPr id="7224" name="Check Box 56" hidden="1">
              <a:extLst>
                <a:ext uri="{63B3BB69-23CF-44E3-9099-C40C66FF867C}">
                  <a14:compatExt spid="_x0000_s7224"/>
                </a:ext>
                <a:ext uri="{FF2B5EF4-FFF2-40B4-BE49-F238E27FC236}">
                  <a16:creationId xmlns:a16="http://schemas.microsoft.com/office/drawing/2014/main" id="{00000000-0008-0000-0000-00003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Constipation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31</xdr:row>
          <xdr:rowOff>161925</xdr:rowOff>
        </xdr:from>
        <xdr:to>
          <xdr:col>3</xdr:col>
          <xdr:colOff>581025</xdr:colOff>
          <xdr:row>33</xdr:row>
          <xdr:rowOff>0</xdr:rowOff>
        </xdr:to>
        <xdr:sp macro="" textlink="">
          <xdr:nvSpPr>
            <xdr:cNvPr id="7225" name="Check Box 57" hidden="1">
              <a:extLst>
                <a:ext uri="{63B3BB69-23CF-44E3-9099-C40C66FF867C}">
                  <a14:compatExt spid="_x0000_s7225"/>
                </a:ext>
                <a:ext uri="{FF2B5EF4-FFF2-40B4-BE49-F238E27FC236}">
                  <a16:creationId xmlns:a16="http://schemas.microsoft.com/office/drawing/2014/main" id="{00000000-0008-0000-0000-00003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Shortness of Breath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23</xdr:row>
          <xdr:rowOff>0</xdr:rowOff>
        </xdr:from>
        <xdr:to>
          <xdr:col>6</xdr:col>
          <xdr:colOff>114300</xdr:colOff>
          <xdr:row>24</xdr:row>
          <xdr:rowOff>28575</xdr:rowOff>
        </xdr:to>
        <xdr:sp macro="" textlink="">
          <xdr:nvSpPr>
            <xdr:cNvPr id="7226" name="Check Box 58" hidden="1">
              <a:extLst>
                <a:ext uri="{63B3BB69-23CF-44E3-9099-C40C66FF867C}">
                  <a14:compatExt spid="_x0000_s7226"/>
                </a:ext>
                <a:ext uri="{FF2B5EF4-FFF2-40B4-BE49-F238E27FC236}">
                  <a16:creationId xmlns:a16="http://schemas.microsoft.com/office/drawing/2014/main" id="{00000000-0008-0000-0000-00003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Airway Clearance Difficulty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24</xdr:row>
          <xdr:rowOff>0</xdr:rowOff>
        </xdr:from>
        <xdr:to>
          <xdr:col>6</xdr:col>
          <xdr:colOff>114300</xdr:colOff>
          <xdr:row>25</xdr:row>
          <xdr:rowOff>28575</xdr:rowOff>
        </xdr:to>
        <xdr:sp macro="" textlink="">
          <xdr:nvSpPr>
            <xdr:cNvPr id="7227" name="Check Box 59" hidden="1">
              <a:extLst>
                <a:ext uri="{63B3BB69-23CF-44E3-9099-C40C66FF867C}">
                  <a14:compatExt spid="_x0000_s7227"/>
                </a:ext>
                <a:ext uri="{FF2B5EF4-FFF2-40B4-BE49-F238E27FC236}">
                  <a16:creationId xmlns:a16="http://schemas.microsoft.com/office/drawing/2014/main" id="{00000000-0008-0000-0000-00003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Confusion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24</xdr:row>
          <xdr:rowOff>180975</xdr:rowOff>
        </xdr:from>
        <xdr:to>
          <xdr:col>6</xdr:col>
          <xdr:colOff>114300</xdr:colOff>
          <xdr:row>26</xdr:row>
          <xdr:rowOff>19050</xdr:rowOff>
        </xdr:to>
        <xdr:sp macro="" textlink="">
          <xdr:nvSpPr>
            <xdr:cNvPr id="7228" name="Check Box 60" hidden="1">
              <a:extLst>
                <a:ext uri="{63B3BB69-23CF-44E3-9099-C40C66FF867C}">
                  <a14:compatExt spid="_x0000_s7228"/>
                </a:ext>
                <a:ext uri="{FF2B5EF4-FFF2-40B4-BE49-F238E27FC236}">
                  <a16:creationId xmlns:a16="http://schemas.microsoft.com/office/drawing/2014/main" id="{00000000-0008-0000-0000-00003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Drowsiness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25</xdr:row>
          <xdr:rowOff>180975</xdr:rowOff>
        </xdr:from>
        <xdr:to>
          <xdr:col>6</xdr:col>
          <xdr:colOff>114300</xdr:colOff>
          <xdr:row>27</xdr:row>
          <xdr:rowOff>19050</xdr:rowOff>
        </xdr:to>
        <xdr:sp macro="" textlink="">
          <xdr:nvSpPr>
            <xdr:cNvPr id="7229" name="Check Box 61" hidden="1">
              <a:extLst>
                <a:ext uri="{63B3BB69-23CF-44E3-9099-C40C66FF867C}">
                  <a14:compatExt spid="_x0000_s7229"/>
                </a:ext>
                <a:ext uri="{FF2B5EF4-FFF2-40B4-BE49-F238E27FC236}">
                  <a16:creationId xmlns:a16="http://schemas.microsoft.com/office/drawing/2014/main" id="{00000000-0008-0000-0000-00003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Cough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26</xdr:row>
          <xdr:rowOff>180975</xdr:rowOff>
        </xdr:from>
        <xdr:to>
          <xdr:col>6</xdr:col>
          <xdr:colOff>114300</xdr:colOff>
          <xdr:row>28</xdr:row>
          <xdr:rowOff>19050</xdr:rowOff>
        </xdr:to>
        <xdr:sp macro="" textlink="">
          <xdr:nvSpPr>
            <xdr:cNvPr id="7230" name="Check Box 62" hidden="1">
              <a:extLst>
                <a:ext uri="{63B3BB69-23CF-44E3-9099-C40C66FF867C}">
                  <a14:compatExt spid="_x0000_s7230"/>
                </a:ext>
                <a:ext uri="{FF2B5EF4-FFF2-40B4-BE49-F238E27FC236}">
                  <a16:creationId xmlns:a16="http://schemas.microsoft.com/office/drawing/2014/main" id="{00000000-0008-0000-0000-00003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Wheezing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27</xdr:row>
          <xdr:rowOff>171450</xdr:rowOff>
        </xdr:from>
        <xdr:to>
          <xdr:col>6</xdr:col>
          <xdr:colOff>114300</xdr:colOff>
          <xdr:row>29</xdr:row>
          <xdr:rowOff>9525</xdr:rowOff>
        </xdr:to>
        <xdr:sp macro="" textlink="">
          <xdr:nvSpPr>
            <xdr:cNvPr id="7231" name="Check Box 63" hidden="1">
              <a:extLst>
                <a:ext uri="{63B3BB69-23CF-44E3-9099-C40C66FF867C}">
                  <a14:compatExt spid="_x0000_s7231"/>
                </a:ext>
                <a:ext uri="{FF2B5EF4-FFF2-40B4-BE49-F238E27FC236}">
                  <a16:creationId xmlns:a16="http://schemas.microsoft.com/office/drawing/2014/main" id="{00000000-0008-0000-0000-00003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Palpitations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28</xdr:row>
          <xdr:rowOff>171450</xdr:rowOff>
        </xdr:from>
        <xdr:to>
          <xdr:col>6</xdr:col>
          <xdr:colOff>114300</xdr:colOff>
          <xdr:row>30</xdr:row>
          <xdr:rowOff>9525</xdr:rowOff>
        </xdr:to>
        <xdr:sp macro="" textlink="">
          <xdr:nvSpPr>
            <xdr:cNvPr id="7232" name="Check Box 64" hidden="1">
              <a:extLst>
                <a:ext uri="{63B3BB69-23CF-44E3-9099-C40C66FF867C}">
                  <a14:compatExt spid="_x0000_s7232"/>
                </a:ext>
                <a:ext uri="{FF2B5EF4-FFF2-40B4-BE49-F238E27FC236}">
                  <a16:creationId xmlns:a16="http://schemas.microsoft.com/office/drawing/2014/main" id="{00000000-0008-0000-0000-00004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Tachycardia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29</xdr:row>
          <xdr:rowOff>171450</xdr:rowOff>
        </xdr:from>
        <xdr:to>
          <xdr:col>6</xdr:col>
          <xdr:colOff>114300</xdr:colOff>
          <xdr:row>31</xdr:row>
          <xdr:rowOff>9525</xdr:rowOff>
        </xdr:to>
        <xdr:sp macro="" textlink="">
          <xdr:nvSpPr>
            <xdr:cNvPr id="7233" name="Check Box 65" hidden="1">
              <a:extLst>
                <a:ext uri="{63B3BB69-23CF-44E3-9099-C40C66FF867C}">
                  <a14:compatExt spid="_x0000_s7233"/>
                </a:ext>
                <a:ext uri="{FF2B5EF4-FFF2-40B4-BE49-F238E27FC236}">
                  <a16:creationId xmlns:a16="http://schemas.microsoft.com/office/drawing/2014/main" id="{00000000-0008-0000-0000-00004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Bradycardia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30</xdr:row>
          <xdr:rowOff>161925</xdr:rowOff>
        </xdr:from>
        <xdr:to>
          <xdr:col>6</xdr:col>
          <xdr:colOff>114300</xdr:colOff>
          <xdr:row>32</xdr:row>
          <xdr:rowOff>0</xdr:rowOff>
        </xdr:to>
        <xdr:sp macro="" textlink="">
          <xdr:nvSpPr>
            <xdr:cNvPr id="7234" name="Check Box 66" hidden="1">
              <a:extLst>
                <a:ext uri="{63B3BB69-23CF-44E3-9099-C40C66FF867C}">
                  <a14:compatExt spid="_x0000_s7234"/>
                </a:ext>
                <a:ext uri="{FF2B5EF4-FFF2-40B4-BE49-F238E27FC236}">
                  <a16:creationId xmlns:a16="http://schemas.microsoft.com/office/drawing/2014/main" id="{00000000-0008-0000-0000-00004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Hypertension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31</xdr:row>
          <xdr:rowOff>161925</xdr:rowOff>
        </xdr:from>
        <xdr:to>
          <xdr:col>6</xdr:col>
          <xdr:colOff>114300</xdr:colOff>
          <xdr:row>33</xdr:row>
          <xdr:rowOff>0</xdr:rowOff>
        </xdr:to>
        <xdr:sp macro="" textlink="">
          <xdr:nvSpPr>
            <xdr:cNvPr id="7235" name="Check Box 67" hidden="1">
              <a:extLst>
                <a:ext uri="{63B3BB69-23CF-44E3-9099-C40C66FF867C}">
                  <a14:compatExt spid="_x0000_s7235"/>
                </a:ext>
                <a:ext uri="{FF2B5EF4-FFF2-40B4-BE49-F238E27FC236}">
                  <a16:creationId xmlns:a16="http://schemas.microsoft.com/office/drawing/2014/main" id="{00000000-0008-0000-0000-00004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Hypotension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23</xdr:row>
          <xdr:rowOff>0</xdr:rowOff>
        </xdr:from>
        <xdr:to>
          <xdr:col>9</xdr:col>
          <xdr:colOff>0</xdr:colOff>
          <xdr:row>24</xdr:row>
          <xdr:rowOff>28575</xdr:rowOff>
        </xdr:to>
        <xdr:sp macro="" textlink="">
          <xdr:nvSpPr>
            <xdr:cNvPr id="7236" name="Check Box 68" hidden="1">
              <a:extLst>
                <a:ext uri="{63B3BB69-23CF-44E3-9099-C40C66FF867C}">
                  <a14:compatExt spid="_x0000_s7236"/>
                </a:ext>
                <a:ext uri="{FF2B5EF4-FFF2-40B4-BE49-F238E27FC236}">
                  <a16:creationId xmlns:a16="http://schemas.microsoft.com/office/drawing/2014/main" id="{00000000-0008-0000-0000-00004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Cognitive Impairment (severe)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23</xdr:row>
          <xdr:rowOff>180975</xdr:rowOff>
        </xdr:from>
        <xdr:to>
          <xdr:col>9</xdr:col>
          <xdr:colOff>0</xdr:colOff>
          <xdr:row>25</xdr:row>
          <xdr:rowOff>19050</xdr:rowOff>
        </xdr:to>
        <xdr:sp macro="" textlink="">
          <xdr:nvSpPr>
            <xdr:cNvPr id="7239" name="Check Box 71" hidden="1">
              <a:extLst>
                <a:ext uri="{63B3BB69-23CF-44E3-9099-C40C66FF867C}">
                  <a14:compatExt spid="_x0000_s7239"/>
                </a:ext>
                <a:ext uri="{FF2B5EF4-FFF2-40B4-BE49-F238E27FC236}">
                  <a16:creationId xmlns:a16="http://schemas.microsoft.com/office/drawing/2014/main" id="{00000000-0008-0000-0000-00004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Cognitive Impairment (mild)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24</xdr:row>
          <xdr:rowOff>180975</xdr:rowOff>
        </xdr:from>
        <xdr:to>
          <xdr:col>8</xdr:col>
          <xdr:colOff>200025</xdr:colOff>
          <xdr:row>26</xdr:row>
          <xdr:rowOff>19050</xdr:rowOff>
        </xdr:to>
        <xdr:sp macro="" textlink="">
          <xdr:nvSpPr>
            <xdr:cNvPr id="7240" name="Check Box 72" hidden="1">
              <a:extLst>
                <a:ext uri="{63B3BB69-23CF-44E3-9099-C40C66FF867C}">
                  <a14:compatExt spid="_x0000_s7240"/>
                </a:ext>
                <a:ext uri="{FF2B5EF4-FFF2-40B4-BE49-F238E27FC236}">
                  <a16:creationId xmlns:a16="http://schemas.microsoft.com/office/drawing/2014/main" id="{00000000-0008-0000-0000-00004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Weakness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25</xdr:row>
          <xdr:rowOff>171450</xdr:rowOff>
        </xdr:from>
        <xdr:to>
          <xdr:col>8</xdr:col>
          <xdr:colOff>200025</xdr:colOff>
          <xdr:row>27</xdr:row>
          <xdr:rowOff>9525</xdr:rowOff>
        </xdr:to>
        <xdr:sp macro="" textlink="">
          <xdr:nvSpPr>
            <xdr:cNvPr id="7241" name="Check Box 73" hidden="1">
              <a:extLst>
                <a:ext uri="{63B3BB69-23CF-44E3-9099-C40C66FF867C}">
                  <a14:compatExt spid="_x0000_s7241"/>
                </a:ext>
                <a:ext uri="{FF2B5EF4-FFF2-40B4-BE49-F238E27FC236}">
                  <a16:creationId xmlns:a16="http://schemas.microsoft.com/office/drawing/2014/main" id="{00000000-0008-0000-0000-00004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Fever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26</xdr:row>
          <xdr:rowOff>171450</xdr:rowOff>
        </xdr:from>
        <xdr:to>
          <xdr:col>8</xdr:col>
          <xdr:colOff>200025</xdr:colOff>
          <xdr:row>28</xdr:row>
          <xdr:rowOff>9525</xdr:rowOff>
        </xdr:to>
        <xdr:sp macro="" textlink="">
          <xdr:nvSpPr>
            <xdr:cNvPr id="7242" name="Check Box 74" hidden="1">
              <a:extLst>
                <a:ext uri="{63B3BB69-23CF-44E3-9099-C40C66FF867C}">
                  <a14:compatExt spid="_x0000_s7242"/>
                </a:ext>
                <a:ext uri="{FF2B5EF4-FFF2-40B4-BE49-F238E27FC236}">
                  <a16:creationId xmlns:a16="http://schemas.microsoft.com/office/drawing/2014/main" id="{00000000-0008-0000-0000-00004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Anorexia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27</xdr:row>
          <xdr:rowOff>161925</xdr:rowOff>
        </xdr:from>
        <xdr:to>
          <xdr:col>8</xdr:col>
          <xdr:colOff>200025</xdr:colOff>
          <xdr:row>29</xdr:row>
          <xdr:rowOff>0</xdr:rowOff>
        </xdr:to>
        <xdr:sp macro="" textlink="">
          <xdr:nvSpPr>
            <xdr:cNvPr id="7243" name="Check Box 75" hidden="1">
              <a:extLst>
                <a:ext uri="{63B3BB69-23CF-44E3-9099-C40C66FF867C}">
                  <a14:compatExt spid="_x0000_s7243"/>
                </a:ext>
                <a:ext uri="{FF2B5EF4-FFF2-40B4-BE49-F238E27FC236}">
                  <a16:creationId xmlns:a16="http://schemas.microsoft.com/office/drawing/2014/main" id="{00000000-0008-0000-0000-00004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Adipsia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28</xdr:row>
          <xdr:rowOff>161925</xdr:rowOff>
        </xdr:from>
        <xdr:to>
          <xdr:col>8</xdr:col>
          <xdr:colOff>200025</xdr:colOff>
          <xdr:row>30</xdr:row>
          <xdr:rowOff>0</xdr:rowOff>
        </xdr:to>
        <xdr:sp macro="" textlink="">
          <xdr:nvSpPr>
            <xdr:cNvPr id="7244" name="Check Box 76" hidden="1">
              <a:extLst>
                <a:ext uri="{63B3BB69-23CF-44E3-9099-C40C66FF867C}">
                  <a14:compatExt spid="_x0000_s7244"/>
                </a:ext>
                <a:ext uri="{FF2B5EF4-FFF2-40B4-BE49-F238E27FC236}">
                  <a16:creationId xmlns:a16="http://schemas.microsoft.com/office/drawing/2014/main" id="{00000000-0008-0000-0000-00004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Agitation/Restlessness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80</xdr:row>
          <xdr:rowOff>0</xdr:rowOff>
        </xdr:from>
        <xdr:to>
          <xdr:col>8</xdr:col>
          <xdr:colOff>0</xdr:colOff>
          <xdr:row>100</xdr:row>
          <xdr:rowOff>0</xdr:rowOff>
        </xdr:to>
        <xdr:sp macro="" textlink="">
          <xdr:nvSpPr>
            <xdr:cNvPr id="7245" name="Group Box 77" hidden="1">
              <a:extLst>
                <a:ext uri="{63B3BB69-23CF-44E3-9099-C40C66FF867C}">
                  <a14:compatExt spid="_x0000_s7245"/>
                </a:ext>
                <a:ext uri="{FF2B5EF4-FFF2-40B4-BE49-F238E27FC236}">
                  <a16:creationId xmlns:a16="http://schemas.microsoft.com/office/drawing/2014/main" id="{00000000-0008-0000-0000-00004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Externally Perceived Experience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609600</xdr:colOff>
          <xdr:row>81</xdr:row>
          <xdr:rowOff>0</xdr:rowOff>
        </xdr:from>
        <xdr:to>
          <xdr:col>2</xdr:col>
          <xdr:colOff>609600</xdr:colOff>
          <xdr:row>82</xdr:row>
          <xdr:rowOff>0</xdr:rowOff>
        </xdr:to>
        <xdr:sp macro="" textlink="">
          <xdr:nvSpPr>
            <xdr:cNvPr id="7246" name="Label 78" hidden="1">
              <a:extLst>
                <a:ext uri="{63B3BB69-23CF-44E3-9099-C40C66FF867C}">
                  <a14:compatExt spid="_x0000_s7246"/>
                </a:ext>
                <a:ext uri="{FF2B5EF4-FFF2-40B4-BE49-F238E27FC236}">
                  <a16:creationId xmlns:a16="http://schemas.microsoft.com/office/drawing/2014/main" id="{00000000-0008-0000-0000-00004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Subject: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81</xdr:row>
          <xdr:rowOff>0</xdr:rowOff>
        </xdr:from>
        <xdr:to>
          <xdr:col>7</xdr:col>
          <xdr:colOff>0</xdr:colOff>
          <xdr:row>82</xdr:row>
          <xdr:rowOff>9525</xdr:rowOff>
        </xdr:to>
        <xdr:sp macro="" textlink="">
          <xdr:nvSpPr>
            <xdr:cNvPr id="7247" name="Drop Down 79" hidden="1">
              <a:extLst>
                <a:ext uri="{63B3BB69-23CF-44E3-9099-C40C66FF867C}">
                  <a14:compatExt spid="_x0000_s7247"/>
                </a:ext>
                <a:ext uri="{FF2B5EF4-FFF2-40B4-BE49-F238E27FC236}">
                  <a16:creationId xmlns:a16="http://schemas.microsoft.com/office/drawing/2014/main" id="{00000000-0008-0000-0000-00004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609600</xdr:colOff>
          <xdr:row>82</xdr:row>
          <xdr:rowOff>180975</xdr:rowOff>
        </xdr:from>
        <xdr:to>
          <xdr:col>2</xdr:col>
          <xdr:colOff>609600</xdr:colOff>
          <xdr:row>83</xdr:row>
          <xdr:rowOff>180975</xdr:rowOff>
        </xdr:to>
        <xdr:sp macro="" textlink="">
          <xdr:nvSpPr>
            <xdr:cNvPr id="7248" name="Label 80" hidden="1">
              <a:extLst>
                <a:ext uri="{63B3BB69-23CF-44E3-9099-C40C66FF867C}">
                  <a14:compatExt spid="_x0000_s7248"/>
                </a:ext>
                <a:ext uri="{FF2B5EF4-FFF2-40B4-BE49-F238E27FC236}">
                  <a16:creationId xmlns:a16="http://schemas.microsoft.com/office/drawing/2014/main" id="{00000000-0008-0000-0000-00005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Describe: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609600</xdr:colOff>
          <xdr:row>86</xdr:row>
          <xdr:rowOff>180975</xdr:rowOff>
        </xdr:from>
        <xdr:to>
          <xdr:col>2</xdr:col>
          <xdr:colOff>609600</xdr:colOff>
          <xdr:row>87</xdr:row>
          <xdr:rowOff>180975</xdr:rowOff>
        </xdr:to>
        <xdr:sp macro="" textlink="">
          <xdr:nvSpPr>
            <xdr:cNvPr id="7249" name="Label 81" hidden="1">
              <a:extLst>
                <a:ext uri="{63B3BB69-23CF-44E3-9099-C40C66FF867C}">
                  <a14:compatExt spid="_x0000_s7249"/>
                </a:ext>
                <a:ext uri="{FF2B5EF4-FFF2-40B4-BE49-F238E27FC236}">
                  <a16:creationId xmlns:a16="http://schemas.microsoft.com/office/drawing/2014/main" id="{00000000-0008-0000-0000-00005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Relationship: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87</xdr:row>
          <xdr:rowOff>0</xdr:rowOff>
        </xdr:from>
        <xdr:to>
          <xdr:col>7</xdr:col>
          <xdr:colOff>0</xdr:colOff>
          <xdr:row>88</xdr:row>
          <xdr:rowOff>9525</xdr:rowOff>
        </xdr:to>
        <xdr:sp macro="" textlink="">
          <xdr:nvSpPr>
            <xdr:cNvPr id="7250" name="Drop Down 82" hidden="1">
              <a:extLst>
                <a:ext uri="{63B3BB69-23CF-44E3-9099-C40C66FF867C}">
                  <a14:compatExt spid="_x0000_s7250"/>
                </a:ext>
                <a:ext uri="{FF2B5EF4-FFF2-40B4-BE49-F238E27FC236}">
                  <a16:creationId xmlns:a16="http://schemas.microsoft.com/office/drawing/2014/main" id="{00000000-0008-0000-0000-00005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609600</xdr:colOff>
          <xdr:row>91</xdr:row>
          <xdr:rowOff>180975</xdr:rowOff>
        </xdr:from>
        <xdr:to>
          <xdr:col>3</xdr:col>
          <xdr:colOff>476250</xdr:colOff>
          <xdr:row>93</xdr:row>
          <xdr:rowOff>66675</xdr:rowOff>
        </xdr:to>
        <xdr:sp macro="" textlink="">
          <xdr:nvSpPr>
            <xdr:cNvPr id="7251" name="Label 83" hidden="1">
              <a:extLst>
                <a:ext uri="{63B3BB69-23CF-44E3-9099-C40C66FF867C}">
                  <a14:compatExt spid="_x0000_s7251"/>
                </a:ext>
                <a:ext uri="{FF2B5EF4-FFF2-40B4-BE49-F238E27FC236}">
                  <a16:creationId xmlns:a16="http://schemas.microsoft.com/office/drawing/2014/main" id="{00000000-0008-0000-0000-00005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Living or Deceased: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92</xdr:row>
          <xdr:rowOff>0</xdr:rowOff>
        </xdr:from>
        <xdr:to>
          <xdr:col>7</xdr:col>
          <xdr:colOff>0</xdr:colOff>
          <xdr:row>93</xdr:row>
          <xdr:rowOff>9525</xdr:rowOff>
        </xdr:to>
        <xdr:sp macro="" textlink="">
          <xdr:nvSpPr>
            <xdr:cNvPr id="7252" name="Drop Down 84" hidden="1">
              <a:extLst>
                <a:ext uri="{63B3BB69-23CF-44E3-9099-C40C66FF867C}">
                  <a14:compatExt spid="_x0000_s7252"/>
                </a:ext>
                <a:ext uri="{FF2B5EF4-FFF2-40B4-BE49-F238E27FC236}">
                  <a16:creationId xmlns:a16="http://schemas.microsoft.com/office/drawing/2014/main" id="{00000000-0008-0000-0000-00005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609600</xdr:colOff>
          <xdr:row>93</xdr:row>
          <xdr:rowOff>180975</xdr:rowOff>
        </xdr:from>
        <xdr:to>
          <xdr:col>2</xdr:col>
          <xdr:colOff>609600</xdr:colOff>
          <xdr:row>94</xdr:row>
          <xdr:rowOff>180975</xdr:rowOff>
        </xdr:to>
        <xdr:sp macro="" textlink="">
          <xdr:nvSpPr>
            <xdr:cNvPr id="7253" name="Label 85" hidden="1">
              <a:extLst>
                <a:ext uri="{63B3BB69-23CF-44E3-9099-C40C66FF867C}">
                  <a14:compatExt spid="_x0000_s7253"/>
                </a:ext>
                <a:ext uri="{FF2B5EF4-FFF2-40B4-BE49-F238E27FC236}">
                  <a16:creationId xmlns:a16="http://schemas.microsoft.com/office/drawing/2014/main" id="{00000000-0008-0000-0000-00005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Location: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94</xdr:row>
          <xdr:rowOff>0</xdr:rowOff>
        </xdr:from>
        <xdr:to>
          <xdr:col>7</xdr:col>
          <xdr:colOff>0</xdr:colOff>
          <xdr:row>95</xdr:row>
          <xdr:rowOff>9525</xdr:rowOff>
        </xdr:to>
        <xdr:sp macro="" textlink="">
          <xdr:nvSpPr>
            <xdr:cNvPr id="7254" name="Drop Down 86" hidden="1">
              <a:extLst>
                <a:ext uri="{63B3BB69-23CF-44E3-9099-C40C66FF867C}">
                  <a14:compatExt spid="_x0000_s7254"/>
                </a:ext>
                <a:ext uri="{FF2B5EF4-FFF2-40B4-BE49-F238E27FC236}">
                  <a16:creationId xmlns:a16="http://schemas.microsoft.com/office/drawing/2014/main" id="{00000000-0008-0000-0000-00005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609600</xdr:colOff>
          <xdr:row>95</xdr:row>
          <xdr:rowOff>180975</xdr:rowOff>
        </xdr:from>
        <xdr:to>
          <xdr:col>2</xdr:col>
          <xdr:colOff>609600</xdr:colOff>
          <xdr:row>96</xdr:row>
          <xdr:rowOff>180975</xdr:rowOff>
        </xdr:to>
        <xdr:sp macro="" textlink="">
          <xdr:nvSpPr>
            <xdr:cNvPr id="7255" name="Label 87" hidden="1">
              <a:extLst>
                <a:ext uri="{63B3BB69-23CF-44E3-9099-C40C66FF867C}">
                  <a14:compatExt spid="_x0000_s7255"/>
                </a:ext>
                <a:ext uri="{FF2B5EF4-FFF2-40B4-BE49-F238E27FC236}">
                  <a16:creationId xmlns:a16="http://schemas.microsoft.com/office/drawing/2014/main" id="{00000000-0008-0000-0000-00005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96</xdr:row>
          <xdr:rowOff>0</xdr:rowOff>
        </xdr:from>
        <xdr:to>
          <xdr:col>7</xdr:col>
          <xdr:colOff>0</xdr:colOff>
          <xdr:row>97</xdr:row>
          <xdr:rowOff>0</xdr:rowOff>
        </xdr:to>
        <xdr:sp macro="" textlink="">
          <xdr:nvSpPr>
            <xdr:cNvPr id="7256" name="Drop Down 88" hidden="1">
              <a:extLst>
                <a:ext uri="{63B3BB69-23CF-44E3-9099-C40C66FF867C}">
                  <a14:compatExt spid="_x0000_s7256"/>
                </a:ext>
                <a:ext uri="{FF2B5EF4-FFF2-40B4-BE49-F238E27FC236}">
                  <a16:creationId xmlns:a16="http://schemas.microsoft.com/office/drawing/2014/main" id="{00000000-0008-0000-0000-00005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609600</xdr:colOff>
          <xdr:row>98</xdr:row>
          <xdr:rowOff>9525</xdr:rowOff>
        </xdr:from>
        <xdr:to>
          <xdr:col>3</xdr:col>
          <xdr:colOff>400050</xdr:colOff>
          <xdr:row>99</xdr:row>
          <xdr:rowOff>0</xdr:rowOff>
        </xdr:to>
        <xdr:sp macro="" textlink="">
          <xdr:nvSpPr>
            <xdr:cNvPr id="7257" name="Label 89" hidden="1">
              <a:extLst>
                <a:ext uri="{63B3BB69-23CF-44E3-9099-C40C66FF867C}">
                  <a14:compatExt spid="_x0000_s7257"/>
                </a:ext>
                <a:ext uri="{FF2B5EF4-FFF2-40B4-BE49-F238E27FC236}">
                  <a16:creationId xmlns:a16="http://schemas.microsoft.com/office/drawing/2014/main" id="{00000000-0008-0000-0000-00005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Patient Response: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98</xdr:row>
          <xdr:rowOff>0</xdr:rowOff>
        </xdr:from>
        <xdr:to>
          <xdr:col>7</xdr:col>
          <xdr:colOff>0</xdr:colOff>
          <xdr:row>99</xdr:row>
          <xdr:rowOff>9525</xdr:rowOff>
        </xdr:to>
        <xdr:sp macro="" textlink="">
          <xdr:nvSpPr>
            <xdr:cNvPr id="7258" name="Drop Down 90" hidden="1">
              <a:extLst>
                <a:ext uri="{63B3BB69-23CF-44E3-9099-C40C66FF867C}">
                  <a14:compatExt spid="_x0000_s7258"/>
                </a:ext>
                <a:ext uri="{FF2B5EF4-FFF2-40B4-BE49-F238E27FC236}">
                  <a16:creationId xmlns:a16="http://schemas.microsoft.com/office/drawing/2014/main" id="{00000000-0008-0000-0000-00005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59</xdr:row>
          <xdr:rowOff>171450</xdr:rowOff>
        </xdr:from>
        <xdr:to>
          <xdr:col>3</xdr:col>
          <xdr:colOff>438150</xdr:colOff>
          <xdr:row>60</xdr:row>
          <xdr:rowOff>171450</xdr:rowOff>
        </xdr:to>
        <xdr:sp macro="" textlink="">
          <xdr:nvSpPr>
            <xdr:cNvPr id="7259" name="Label 91" hidden="1">
              <a:extLst>
                <a:ext uri="{63B3BB69-23CF-44E3-9099-C40C66FF867C}">
                  <a14:compatExt spid="_x0000_s7259"/>
                </a:ext>
                <a:ext uri="{FF2B5EF4-FFF2-40B4-BE49-F238E27FC236}">
                  <a16:creationId xmlns:a16="http://schemas.microsoft.com/office/drawing/2014/main" id="{00000000-0008-0000-0000-00005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Level of Interaction: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59</xdr:row>
          <xdr:rowOff>180975</xdr:rowOff>
        </xdr:from>
        <xdr:to>
          <xdr:col>5</xdr:col>
          <xdr:colOff>653611</xdr:colOff>
          <xdr:row>61</xdr:row>
          <xdr:rowOff>0</xdr:rowOff>
        </xdr:to>
        <xdr:sp macro="" textlink="">
          <xdr:nvSpPr>
            <xdr:cNvPr id="7260" name="Drop Down 92" hidden="1">
              <a:extLst>
                <a:ext uri="{63B3BB69-23CF-44E3-9099-C40C66FF867C}">
                  <a14:compatExt spid="_x0000_s7260"/>
                </a:ext>
                <a:ext uri="{FF2B5EF4-FFF2-40B4-BE49-F238E27FC236}">
                  <a16:creationId xmlns:a16="http://schemas.microsoft.com/office/drawing/2014/main" id="{00000000-0008-0000-0000-00005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101</xdr:row>
          <xdr:rowOff>0</xdr:rowOff>
        </xdr:from>
        <xdr:to>
          <xdr:col>7</xdr:col>
          <xdr:colOff>0</xdr:colOff>
          <xdr:row>108</xdr:row>
          <xdr:rowOff>0</xdr:rowOff>
        </xdr:to>
        <xdr:sp macro="" textlink="">
          <xdr:nvSpPr>
            <xdr:cNvPr id="7261" name="Group Box 93" hidden="1">
              <a:extLst>
                <a:ext uri="{63B3BB69-23CF-44E3-9099-C40C66FF867C}">
                  <a14:compatExt spid="_x0000_s7261"/>
                </a:ext>
                <a:ext uri="{FF2B5EF4-FFF2-40B4-BE49-F238E27FC236}">
                  <a16:creationId xmlns:a16="http://schemas.microsoft.com/office/drawing/2014/main" id="{00000000-0008-0000-0000-00005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Internally Perceived Experience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102</xdr:row>
          <xdr:rowOff>0</xdr:rowOff>
        </xdr:from>
        <xdr:to>
          <xdr:col>6</xdr:col>
          <xdr:colOff>361950</xdr:colOff>
          <xdr:row>103</xdr:row>
          <xdr:rowOff>28575</xdr:rowOff>
        </xdr:to>
        <xdr:sp macro="" textlink="">
          <xdr:nvSpPr>
            <xdr:cNvPr id="7262" name="Check Box 94" hidden="1">
              <a:extLst>
                <a:ext uri="{63B3BB69-23CF-44E3-9099-C40C66FF867C}">
                  <a14:compatExt spid="_x0000_s7262"/>
                </a:ext>
                <a:ext uri="{FF2B5EF4-FFF2-40B4-BE49-F238E27FC236}">
                  <a16:creationId xmlns:a16="http://schemas.microsoft.com/office/drawing/2014/main" id="{00000000-0008-0000-0000-00005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Feeling of oneness, connectedness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103</xdr:row>
          <xdr:rowOff>0</xdr:rowOff>
        </xdr:from>
        <xdr:to>
          <xdr:col>6</xdr:col>
          <xdr:colOff>361950</xdr:colOff>
          <xdr:row>104</xdr:row>
          <xdr:rowOff>28575</xdr:rowOff>
        </xdr:to>
        <xdr:sp macro="" textlink="">
          <xdr:nvSpPr>
            <xdr:cNvPr id="7263" name="Check Box 95" hidden="1">
              <a:extLst>
                <a:ext uri="{63B3BB69-23CF-44E3-9099-C40C66FF867C}">
                  <a14:compatExt spid="_x0000_s7263"/>
                </a:ext>
                <a:ext uri="{FF2B5EF4-FFF2-40B4-BE49-F238E27FC236}">
                  <a16:creationId xmlns:a16="http://schemas.microsoft.com/office/drawing/2014/main" id="{00000000-0008-0000-0000-00005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Feeling of fogiveness, peace, life satisfaction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104</xdr:row>
          <xdr:rowOff>19050</xdr:rowOff>
        </xdr:from>
        <xdr:to>
          <xdr:col>6</xdr:col>
          <xdr:colOff>361950</xdr:colOff>
          <xdr:row>105</xdr:row>
          <xdr:rowOff>0</xdr:rowOff>
        </xdr:to>
        <xdr:sp macro="" textlink="">
          <xdr:nvSpPr>
            <xdr:cNvPr id="7264" name="Check Box 96" hidden="1">
              <a:extLst>
                <a:ext uri="{63B3BB69-23CF-44E3-9099-C40C66FF867C}">
                  <a14:compatExt spid="_x0000_s7264"/>
                </a:ext>
                <a:ext uri="{FF2B5EF4-FFF2-40B4-BE49-F238E27FC236}">
                  <a16:creationId xmlns:a16="http://schemas.microsoft.com/office/drawing/2014/main" id="{00000000-0008-0000-0000-00006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Feeling the precense/connectedness with a higher being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105</xdr:row>
          <xdr:rowOff>0</xdr:rowOff>
        </xdr:from>
        <xdr:to>
          <xdr:col>6</xdr:col>
          <xdr:colOff>361950</xdr:colOff>
          <xdr:row>106</xdr:row>
          <xdr:rowOff>28575</xdr:rowOff>
        </xdr:to>
        <xdr:sp macro="" textlink="">
          <xdr:nvSpPr>
            <xdr:cNvPr id="7265" name="Check Box 97" hidden="1">
              <a:extLst>
                <a:ext uri="{63B3BB69-23CF-44E3-9099-C40C66FF867C}">
                  <a14:compatExt spid="_x0000_s7265"/>
                </a:ext>
                <a:ext uri="{FF2B5EF4-FFF2-40B4-BE49-F238E27FC236}">
                  <a16:creationId xmlns:a16="http://schemas.microsoft.com/office/drawing/2014/main" id="{00000000-0008-0000-0000-00006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Religion-specific figures/experiences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106</xdr:row>
          <xdr:rowOff>0</xdr:rowOff>
        </xdr:from>
        <xdr:to>
          <xdr:col>6</xdr:col>
          <xdr:colOff>361950</xdr:colOff>
          <xdr:row>107</xdr:row>
          <xdr:rowOff>28575</xdr:rowOff>
        </xdr:to>
        <xdr:sp macro="" textlink="">
          <xdr:nvSpPr>
            <xdr:cNvPr id="7266" name="Check Box 98" hidden="1">
              <a:extLst>
                <a:ext uri="{63B3BB69-23CF-44E3-9099-C40C66FF867C}">
                  <a14:compatExt spid="_x0000_s7266"/>
                </a:ext>
                <a:ext uri="{FF2B5EF4-FFF2-40B4-BE49-F238E27FC236}">
                  <a16:creationId xmlns:a16="http://schemas.microsoft.com/office/drawing/2014/main" id="{00000000-0008-0000-0000-00006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Feeling of readiness to let go</a:t>
              </a:r>
            </a:p>
          </xdr:txBody>
        </xdr:sp>
        <xdr:clientData/>
      </xdr:twoCellAnchor>
    </mc:Choice>
    <mc:Fallback/>
  </mc:AlternateContent>
  <xdr:twoCellAnchor editAs="oneCell">
    <xdr:from>
      <xdr:col>2</xdr:col>
      <xdr:colOff>0</xdr:colOff>
      <xdr:row>108</xdr:row>
      <xdr:rowOff>182217</xdr:rowOff>
    </xdr:from>
    <xdr:to>
      <xdr:col>8</xdr:col>
      <xdr:colOff>1998</xdr:colOff>
      <xdr:row>127</xdr:row>
      <xdr:rowOff>1571</xdr:rowOff>
    </xdr:to>
    <xdr:sp macro="" textlink="">
      <xdr:nvSpPr>
        <xdr:cNvPr id="7268" name="Group Box 100" hidden="1">
          <a:extLst>
            <a:ext uri="{63B3BB69-23CF-44E3-9099-C40C66FF867C}">
              <a14:compatExt xmlns:a14="http://schemas.microsoft.com/office/drawing/2010/main" spid="_x0000_s7268"/>
            </a:ext>
            <a:ext uri="{FF2B5EF4-FFF2-40B4-BE49-F238E27FC236}">
              <a16:creationId xmlns:a16="http://schemas.microsoft.com/office/drawing/2014/main" id="{00000000-0008-0000-0000-000064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  <xdr:txBody>
        <a:bodyPr vertOverflow="clip" wrap="none" lIns="36576" tIns="36576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Segoe UI"/>
              <a:cs typeface="Segoe UI"/>
            </a:rPr>
            <a:t>Experience Description</a:t>
          </a:r>
        </a:p>
      </xdr:txBody>
    </xdr:sp>
    <xdr:clientData/>
  </xdr:twoCellAnchor>
  <xdr:twoCellAnchor>
    <xdr:from>
      <xdr:col>2</xdr:col>
      <xdr:colOff>0</xdr:colOff>
      <xdr:row>109</xdr:row>
      <xdr:rowOff>182218</xdr:rowOff>
    </xdr:from>
    <xdr:to>
      <xdr:col>3</xdr:col>
      <xdr:colOff>322384</xdr:colOff>
      <xdr:row>111</xdr:row>
      <xdr:rowOff>124240</xdr:rowOff>
    </xdr:to>
    <xdr:sp macro="" textlink="">
      <xdr:nvSpPr>
        <xdr:cNvPr id="7269" name="Label 101" hidden="1">
          <a:extLst>
            <a:ext uri="{63B3BB69-23CF-44E3-9099-C40C66FF867C}">
              <a14:compatExt xmlns:a14="http://schemas.microsoft.com/office/drawing/2010/main" spid="_x0000_s7269"/>
            </a:ext>
            <a:ext uri="{FF2B5EF4-FFF2-40B4-BE49-F238E27FC236}">
              <a16:creationId xmlns:a16="http://schemas.microsoft.com/office/drawing/2014/main" id="{00000000-0008-0000-0000-000065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Segoe UI"/>
              <a:cs typeface="Segoe UI"/>
            </a:rPr>
            <a:t>Days Before Death </a:t>
          </a:r>
        </a:p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Segoe UI"/>
              <a:cs typeface="Segoe UI"/>
            </a:rPr>
            <a:t>(Start)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111</xdr:row>
          <xdr:rowOff>190500</xdr:rowOff>
        </xdr:from>
        <xdr:to>
          <xdr:col>3</xdr:col>
          <xdr:colOff>342900</xdr:colOff>
          <xdr:row>113</xdr:row>
          <xdr:rowOff>9525</xdr:rowOff>
        </xdr:to>
        <xdr:sp macro="" textlink="">
          <xdr:nvSpPr>
            <xdr:cNvPr id="7270" name="Label 102" hidden="1">
              <a:extLst>
                <a:ext uri="{63B3BB69-23CF-44E3-9099-C40C66FF867C}">
                  <a14:compatExt spid="_x0000_s7270"/>
                </a:ext>
                <a:ext uri="{FF2B5EF4-FFF2-40B4-BE49-F238E27FC236}">
                  <a16:creationId xmlns:a16="http://schemas.microsoft.com/office/drawing/2014/main" id="{00000000-0008-0000-0000-00006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Length of Episode: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112</xdr:row>
          <xdr:rowOff>19050</xdr:rowOff>
        </xdr:from>
        <xdr:to>
          <xdr:col>5</xdr:col>
          <xdr:colOff>352425</xdr:colOff>
          <xdr:row>113</xdr:row>
          <xdr:rowOff>38100</xdr:rowOff>
        </xdr:to>
        <xdr:sp macro="" textlink="">
          <xdr:nvSpPr>
            <xdr:cNvPr id="7278" name="Label 110" hidden="1">
              <a:extLst>
                <a:ext uri="{63B3BB69-23CF-44E3-9099-C40C66FF867C}">
                  <a14:compatExt spid="_x0000_s7278"/>
                </a:ext>
                <a:ext uri="{FF2B5EF4-FFF2-40B4-BE49-F238E27FC236}">
                  <a16:creationId xmlns:a16="http://schemas.microsoft.com/office/drawing/2014/main" id="{00000000-0008-0000-0000-00006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Days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33131</xdr:colOff>
      <xdr:row>112</xdr:row>
      <xdr:rowOff>16564</xdr:rowOff>
    </xdr:from>
    <xdr:to>
      <xdr:col>7</xdr:col>
      <xdr:colOff>443949</xdr:colOff>
      <xdr:row>113</xdr:row>
      <xdr:rowOff>35614</xdr:rowOff>
    </xdr:to>
    <xdr:sp macro="" textlink="">
      <xdr:nvSpPr>
        <xdr:cNvPr id="7279" name="Label 111" hidden="1">
          <a:extLst>
            <a:ext uri="{63B3BB69-23CF-44E3-9099-C40C66FF867C}">
              <a14:compatExt xmlns:a14="http://schemas.microsoft.com/office/drawing/2010/main" spid="_x0000_s7279"/>
            </a:ext>
            <a:ext uri="{FF2B5EF4-FFF2-40B4-BE49-F238E27FC236}">
              <a16:creationId xmlns:a16="http://schemas.microsoft.com/office/drawing/2014/main" id="{00000000-0008-0000-0000-00006F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Segoe UI"/>
              <a:cs typeface="Segoe UI"/>
            </a:rPr>
            <a:t>Hours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113</xdr:row>
          <xdr:rowOff>180975</xdr:rowOff>
        </xdr:from>
        <xdr:to>
          <xdr:col>4</xdr:col>
          <xdr:colOff>0</xdr:colOff>
          <xdr:row>114</xdr:row>
          <xdr:rowOff>190500</xdr:rowOff>
        </xdr:to>
        <xdr:sp macro="" textlink="">
          <xdr:nvSpPr>
            <xdr:cNvPr id="7280" name="Label 112" hidden="1">
              <a:extLst>
                <a:ext uri="{63B3BB69-23CF-44E3-9099-C40C66FF867C}">
                  <a14:compatExt spid="_x0000_s7280"/>
                </a:ext>
                <a:ext uri="{FF2B5EF4-FFF2-40B4-BE49-F238E27FC236}">
                  <a16:creationId xmlns:a16="http://schemas.microsoft.com/office/drawing/2014/main" id="{00000000-0008-0000-0000-00007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Episode Narrative: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</xdr:colOff>
          <xdr:row>36</xdr:row>
          <xdr:rowOff>19050</xdr:rowOff>
        </xdr:from>
        <xdr:to>
          <xdr:col>7</xdr:col>
          <xdr:colOff>504825</xdr:colOff>
          <xdr:row>39</xdr:row>
          <xdr:rowOff>19050</xdr:rowOff>
        </xdr:to>
        <xdr:sp macro="" textlink="">
          <xdr:nvSpPr>
            <xdr:cNvPr id="7282" name="TextBox1" hidden="1">
              <a:extLst>
                <a:ext uri="{63B3BB69-23CF-44E3-9099-C40C66FF867C}">
                  <a14:compatExt spid="_x0000_s7282"/>
                </a:ext>
                <a:ext uri="{FF2B5EF4-FFF2-40B4-BE49-F238E27FC236}">
                  <a16:creationId xmlns:a16="http://schemas.microsoft.com/office/drawing/2014/main" id="{00000000-0008-0000-0000-00007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</xdr:colOff>
          <xdr:row>42</xdr:row>
          <xdr:rowOff>9525</xdr:rowOff>
        </xdr:from>
        <xdr:to>
          <xdr:col>7</xdr:col>
          <xdr:colOff>504825</xdr:colOff>
          <xdr:row>45</xdr:row>
          <xdr:rowOff>9525</xdr:rowOff>
        </xdr:to>
        <xdr:sp macro="" textlink="">
          <xdr:nvSpPr>
            <xdr:cNvPr id="7283" name="TextBox2" hidden="1">
              <a:extLst>
                <a:ext uri="{63B3BB69-23CF-44E3-9099-C40C66FF867C}">
                  <a14:compatExt spid="_x0000_s7283"/>
                </a:ext>
                <a:ext uri="{FF2B5EF4-FFF2-40B4-BE49-F238E27FC236}">
                  <a16:creationId xmlns:a16="http://schemas.microsoft.com/office/drawing/2014/main" id="{00000000-0008-0000-0000-00007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83</xdr:row>
          <xdr:rowOff>9525</xdr:rowOff>
        </xdr:from>
        <xdr:to>
          <xdr:col>7</xdr:col>
          <xdr:colOff>0</xdr:colOff>
          <xdr:row>86</xdr:row>
          <xdr:rowOff>9525</xdr:rowOff>
        </xdr:to>
        <xdr:sp macro="" textlink="">
          <xdr:nvSpPr>
            <xdr:cNvPr id="7284" name="TextBox3" hidden="1">
              <a:extLst>
                <a:ext uri="{63B3BB69-23CF-44E3-9099-C40C66FF867C}">
                  <a14:compatExt spid="_x0000_s7284"/>
                </a:ext>
                <a:ext uri="{FF2B5EF4-FFF2-40B4-BE49-F238E27FC236}">
                  <a16:creationId xmlns:a16="http://schemas.microsoft.com/office/drawing/2014/main" id="{00000000-0008-0000-0000-00007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114</xdr:row>
          <xdr:rowOff>180975</xdr:rowOff>
        </xdr:from>
        <xdr:to>
          <xdr:col>8</xdr:col>
          <xdr:colOff>0</xdr:colOff>
          <xdr:row>119</xdr:row>
          <xdr:rowOff>328</xdr:rowOff>
        </xdr:to>
        <xdr:sp macro="" textlink="">
          <xdr:nvSpPr>
            <xdr:cNvPr id="7285" name="TextBox4" hidden="1">
              <a:extLst>
                <a:ext uri="{63B3BB69-23CF-44E3-9099-C40C66FF867C}">
                  <a14:compatExt spid="_x0000_s7285"/>
                </a:ext>
                <a:ext uri="{FF2B5EF4-FFF2-40B4-BE49-F238E27FC236}">
                  <a16:creationId xmlns:a16="http://schemas.microsoft.com/office/drawing/2014/main" id="{00000000-0008-0000-0000-00007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120</xdr:row>
          <xdr:rowOff>180975</xdr:rowOff>
        </xdr:from>
        <xdr:to>
          <xdr:col>8</xdr:col>
          <xdr:colOff>0</xdr:colOff>
          <xdr:row>126</xdr:row>
          <xdr:rowOff>328</xdr:rowOff>
        </xdr:to>
        <xdr:sp macro="" textlink="">
          <xdr:nvSpPr>
            <xdr:cNvPr id="7286" name="TextBox5" hidden="1">
              <a:extLst>
                <a:ext uri="{63B3BB69-23CF-44E3-9099-C40C66FF867C}">
                  <a14:compatExt spid="_x0000_s7286"/>
                </a:ext>
                <a:ext uri="{FF2B5EF4-FFF2-40B4-BE49-F238E27FC236}">
                  <a16:creationId xmlns:a16="http://schemas.microsoft.com/office/drawing/2014/main" id="{00000000-0008-0000-0000-00007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186</xdr:row>
          <xdr:rowOff>0</xdr:rowOff>
        </xdr:from>
        <xdr:to>
          <xdr:col>4</xdr:col>
          <xdr:colOff>0</xdr:colOff>
          <xdr:row>189</xdr:row>
          <xdr:rowOff>0</xdr:rowOff>
        </xdr:to>
        <xdr:sp macro="" textlink="">
          <xdr:nvSpPr>
            <xdr:cNvPr id="7288" name="Button 120" hidden="1">
              <a:extLst>
                <a:ext uri="{63B3BB69-23CF-44E3-9099-C40C66FF867C}">
                  <a14:compatExt spid="_x0000_s7288"/>
                </a:ext>
                <a:ext uri="{FF2B5EF4-FFF2-40B4-BE49-F238E27FC236}">
                  <a16:creationId xmlns:a16="http://schemas.microsoft.com/office/drawing/2014/main" id="{00000000-0008-0000-0000-00007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186</xdr:row>
          <xdr:rowOff>0</xdr:rowOff>
        </xdr:from>
        <xdr:to>
          <xdr:col>7</xdr:col>
          <xdr:colOff>0</xdr:colOff>
          <xdr:row>189</xdr:row>
          <xdr:rowOff>0</xdr:rowOff>
        </xdr:to>
        <xdr:sp macro="" textlink="">
          <xdr:nvSpPr>
            <xdr:cNvPr id="7291" name="Button 123" hidden="1">
              <a:extLst>
                <a:ext uri="{63B3BB69-23CF-44E3-9099-C40C66FF867C}">
                  <a14:compatExt spid="_x0000_s7291"/>
                </a:ext>
                <a:ext uri="{FF2B5EF4-FFF2-40B4-BE49-F238E27FC236}">
                  <a16:creationId xmlns:a16="http://schemas.microsoft.com/office/drawing/2014/main" id="{00000000-0008-0000-0000-00007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119</xdr:row>
          <xdr:rowOff>180975</xdr:rowOff>
        </xdr:from>
        <xdr:to>
          <xdr:col>3</xdr:col>
          <xdr:colOff>0</xdr:colOff>
          <xdr:row>120</xdr:row>
          <xdr:rowOff>180975</xdr:rowOff>
        </xdr:to>
        <xdr:sp macro="" textlink="">
          <xdr:nvSpPr>
            <xdr:cNvPr id="7296" name="Label 128" hidden="1">
              <a:extLst>
                <a:ext uri="{63B3BB69-23CF-44E3-9099-C40C66FF867C}">
                  <a14:compatExt spid="_x0000_s7296"/>
                </a:ext>
                <a:ext uri="{FF2B5EF4-FFF2-40B4-BE49-F238E27FC236}">
                  <a16:creationId xmlns:a16="http://schemas.microsoft.com/office/drawing/2014/main" id="{00000000-0008-0000-0000-00008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Other Notes: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653142</xdr:colOff>
          <xdr:row>182</xdr:row>
          <xdr:rowOff>0</xdr:rowOff>
        </xdr:from>
        <xdr:to>
          <xdr:col>5</xdr:col>
          <xdr:colOff>653611</xdr:colOff>
          <xdr:row>185</xdr:row>
          <xdr:rowOff>1690</xdr:rowOff>
        </xdr:to>
        <xdr:sp macro="" textlink="">
          <xdr:nvSpPr>
            <xdr:cNvPr id="7298" name="Group Box 130" hidden="1">
              <a:extLst>
                <a:ext uri="{63B3BB69-23CF-44E3-9099-C40C66FF867C}">
                  <a14:compatExt spid="_x0000_s7298"/>
                </a:ext>
                <a:ext uri="{FF2B5EF4-FFF2-40B4-BE49-F238E27FC236}">
                  <a16:creationId xmlns:a16="http://schemas.microsoft.com/office/drawing/2014/main" id="{00000000-0008-0000-0000-00008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Submitter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183</xdr:row>
          <xdr:rowOff>0</xdr:rowOff>
        </xdr:from>
        <xdr:to>
          <xdr:col>5</xdr:col>
          <xdr:colOff>419100</xdr:colOff>
          <xdr:row>184</xdr:row>
          <xdr:rowOff>9525</xdr:rowOff>
        </xdr:to>
        <xdr:sp macro="" textlink="">
          <xdr:nvSpPr>
            <xdr:cNvPr id="7299" name="Drop Down 131" hidden="1">
              <a:extLst>
                <a:ext uri="{63B3BB69-23CF-44E3-9099-C40C66FF867C}">
                  <a14:compatExt spid="_x0000_s7299"/>
                </a:ext>
                <a:ext uri="{FF2B5EF4-FFF2-40B4-BE49-F238E27FC236}">
                  <a16:creationId xmlns:a16="http://schemas.microsoft.com/office/drawing/2014/main" id="{00000000-0008-0000-0000-00008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89</xdr:row>
          <xdr:rowOff>0</xdr:rowOff>
        </xdr:from>
        <xdr:to>
          <xdr:col>3</xdr:col>
          <xdr:colOff>409575</xdr:colOff>
          <xdr:row>90</xdr:row>
          <xdr:rowOff>161925</xdr:rowOff>
        </xdr:to>
        <xdr:sp macro="" textlink="">
          <xdr:nvSpPr>
            <xdr:cNvPr id="7300" name="Label 132" hidden="1">
              <a:extLst>
                <a:ext uri="{63B3BB69-23CF-44E3-9099-C40C66FF867C}">
                  <a14:compatExt spid="_x0000_s7300"/>
                </a:ext>
                <a:ext uri="{FF2B5EF4-FFF2-40B4-BE49-F238E27FC236}">
                  <a16:creationId xmlns:a16="http://schemas.microsoft.com/office/drawing/2014/main" id="{00000000-0008-0000-0000-00008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If Other, Describe: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89</xdr:row>
          <xdr:rowOff>9525</xdr:rowOff>
        </xdr:from>
        <xdr:to>
          <xdr:col>7</xdr:col>
          <xdr:colOff>0</xdr:colOff>
          <xdr:row>91</xdr:row>
          <xdr:rowOff>9525</xdr:rowOff>
        </xdr:to>
        <xdr:sp macro="" textlink="">
          <xdr:nvSpPr>
            <xdr:cNvPr id="7301" name="TextBox6" hidden="1">
              <a:extLst>
                <a:ext uri="{63B3BB69-23CF-44E3-9099-C40C66FF867C}">
                  <a14:compatExt spid="_x0000_s7301"/>
                </a:ext>
                <a:ext uri="{FF2B5EF4-FFF2-40B4-BE49-F238E27FC236}">
                  <a16:creationId xmlns:a16="http://schemas.microsoft.com/office/drawing/2014/main" id="{00000000-0008-0000-0000-00008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149</xdr:row>
          <xdr:rowOff>0</xdr:rowOff>
        </xdr:from>
        <xdr:to>
          <xdr:col>5</xdr:col>
          <xdr:colOff>653611</xdr:colOff>
          <xdr:row>152</xdr:row>
          <xdr:rowOff>0</xdr:rowOff>
        </xdr:to>
        <xdr:sp macro="" textlink="">
          <xdr:nvSpPr>
            <xdr:cNvPr id="7302" name="Group Box 134" hidden="1">
              <a:extLst>
                <a:ext uri="{63B3BB69-23CF-44E3-9099-C40C66FF867C}">
                  <a14:compatExt spid="_x0000_s7302"/>
                </a:ext>
                <a:ext uri="{FF2B5EF4-FFF2-40B4-BE49-F238E27FC236}">
                  <a16:creationId xmlns:a16="http://schemas.microsoft.com/office/drawing/2014/main" id="{00000000-0008-0000-0000-00008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Mobility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285750</xdr:colOff>
          <xdr:row>150</xdr:row>
          <xdr:rowOff>0</xdr:rowOff>
        </xdr:from>
        <xdr:to>
          <xdr:col>5</xdr:col>
          <xdr:colOff>66675</xdr:colOff>
          <xdr:row>151</xdr:row>
          <xdr:rowOff>0</xdr:rowOff>
        </xdr:to>
        <xdr:sp macro="" textlink="">
          <xdr:nvSpPr>
            <xdr:cNvPr id="7303" name="Drop Down 135" hidden="1">
              <a:extLst>
                <a:ext uri="{63B3BB69-23CF-44E3-9099-C40C66FF867C}">
                  <a14:compatExt spid="_x0000_s7303"/>
                </a:ext>
                <a:ext uri="{FF2B5EF4-FFF2-40B4-BE49-F238E27FC236}">
                  <a16:creationId xmlns:a16="http://schemas.microsoft.com/office/drawing/2014/main" id="{00000000-0008-0000-0000-00008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143</xdr:row>
          <xdr:rowOff>0</xdr:rowOff>
        </xdr:from>
        <xdr:to>
          <xdr:col>8</xdr:col>
          <xdr:colOff>0</xdr:colOff>
          <xdr:row>148</xdr:row>
          <xdr:rowOff>0</xdr:rowOff>
        </xdr:to>
        <xdr:sp macro="" textlink="">
          <xdr:nvSpPr>
            <xdr:cNvPr id="7304" name="Group Box 136" hidden="1">
              <a:extLst>
                <a:ext uri="{63B3BB69-23CF-44E3-9099-C40C66FF867C}">
                  <a14:compatExt spid="_x0000_s7304"/>
                </a:ext>
                <a:ext uri="{FF2B5EF4-FFF2-40B4-BE49-F238E27FC236}">
                  <a16:creationId xmlns:a16="http://schemas.microsoft.com/office/drawing/2014/main" id="{00000000-0008-0000-0000-00008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Notable Lab Results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154</xdr:row>
          <xdr:rowOff>0</xdr:rowOff>
        </xdr:from>
        <xdr:to>
          <xdr:col>3</xdr:col>
          <xdr:colOff>400050</xdr:colOff>
          <xdr:row>155</xdr:row>
          <xdr:rowOff>0</xdr:rowOff>
        </xdr:to>
        <xdr:sp macro="" textlink="">
          <xdr:nvSpPr>
            <xdr:cNvPr id="7305" name="Label 137" hidden="1">
              <a:extLst>
                <a:ext uri="{63B3BB69-23CF-44E3-9099-C40C66FF867C}">
                  <a14:compatExt spid="_x0000_s7305"/>
                </a:ext>
                <a:ext uri="{FF2B5EF4-FFF2-40B4-BE49-F238E27FC236}">
                  <a16:creationId xmlns:a16="http://schemas.microsoft.com/office/drawing/2014/main" id="{00000000-0008-0000-0000-00008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Eye Opening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156</xdr:row>
          <xdr:rowOff>0</xdr:rowOff>
        </xdr:from>
        <xdr:to>
          <xdr:col>3</xdr:col>
          <xdr:colOff>0</xdr:colOff>
          <xdr:row>157</xdr:row>
          <xdr:rowOff>0</xdr:rowOff>
        </xdr:to>
        <xdr:sp macro="" textlink="">
          <xdr:nvSpPr>
            <xdr:cNvPr id="7306" name="Label 138" hidden="1">
              <a:extLst>
                <a:ext uri="{63B3BB69-23CF-44E3-9099-C40C66FF867C}">
                  <a14:compatExt spid="_x0000_s7306"/>
                </a:ext>
                <a:ext uri="{FF2B5EF4-FFF2-40B4-BE49-F238E27FC236}">
                  <a16:creationId xmlns:a16="http://schemas.microsoft.com/office/drawing/2014/main" id="{00000000-0008-0000-0000-00008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Verbal Response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158</xdr:row>
          <xdr:rowOff>0</xdr:rowOff>
        </xdr:from>
        <xdr:to>
          <xdr:col>3</xdr:col>
          <xdr:colOff>400050</xdr:colOff>
          <xdr:row>159</xdr:row>
          <xdr:rowOff>0</xdr:rowOff>
        </xdr:to>
        <xdr:sp macro="" textlink="">
          <xdr:nvSpPr>
            <xdr:cNvPr id="7307" name="Label 139" hidden="1">
              <a:extLst>
                <a:ext uri="{63B3BB69-23CF-44E3-9099-C40C66FF867C}">
                  <a14:compatExt spid="_x0000_s7307"/>
                </a:ext>
                <a:ext uri="{FF2B5EF4-FFF2-40B4-BE49-F238E27FC236}">
                  <a16:creationId xmlns:a16="http://schemas.microsoft.com/office/drawing/2014/main" id="{00000000-0008-0000-0000-00008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Motor Response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154</xdr:row>
          <xdr:rowOff>0</xdr:rowOff>
        </xdr:from>
        <xdr:to>
          <xdr:col>5</xdr:col>
          <xdr:colOff>653611</xdr:colOff>
          <xdr:row>155</xdr:row>
          <xdr:rowOff>0</xdr:rowOff>
        </xdr:to>
        <xdr:sp macro="" textlink="">
          <xdr:nvSpPr>
            <xdr:cNvPr id="7308" name="Drop Down 140" hidden="1">
              <a:extLst>
                <a:ext uri="{63B3BB69-23CF-44E3-9099-C40C66FF867C}">
                  <a14:compatExt spid="_x0000_s7308"/>
                </a:ext>
                <a:ext uri="{FF2B5EF4-FFF2-40B4-BE49-F238E27FC236}">
                  <a16:creationId xmlns:a16="http://schemas.microsoft.com/office/drawing/2014/main" id="{00000000-0008-0000-0000-00008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155</xdr:row>
          <xdr:rowOff>180975</xdr:rowOff>
        </xdr:from>
        <xdr:to>
          <xdr:col>5</xdr:col>
          <xdr:colOff>653611</xdr:colOff>
          <xdr:row>157</xdr:row>
          <xdr:rowOff>0</xdr:rowOff>
        </xdr:to>
        <xdr:sp macro="" textlink="">
          <xdr:nvSpPr>
            <xdr:cNvPr id="7309" name="Drop Down 141" hidden="1">
              <a:extLst>
                <a:ext uri="{63B3BB69-23CF-44E3-9099-C40C66FF867C}">
                  <a14:compatExt spid="_x0000_s7309"/>
                </a:ext>
                <a:ext uri="{FF2B5EF4-FFF2-40B4-BE49-F238E27FC236}">
                  <a16:creationId xmlns:a16="http://schemas.microsoft.com/office/drawing/2014/main" id="{00000000-0008-0000-0000-00008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157</xdr:row>
          <xdr:rowOff>180975</xdr:rowOff>
        </xdr:from>
        <xdr:to>
          <xdr:col>5</xdr:col>
          <xdr:colOff>653611</xdr:colOff>
          <xdr:row>159</xdr:row>
          <xdr:rowOff>0</xdr:rowOff>
        </xdr:to>
        <xdr:sp macro="" textlink="">
          <xdr:nvSpPr>
            <xdr:cNvPr id="7310" name="Drop Down 142" hidden="1">
              <a:extLst>
                <a:ext uri="{63B3BB69-23CF-44E3-9099-C40C66FF867C}">
                  <a14:compatExt spid="_x0000_s7310"/>
                </a:ext>
                <a:ext uri="{FF2B5EF4-FFF2-40B4-BE49-F238E27FC236}">
                  <a16:creationId xmlns:a16="http://schemas.microsoft.com/office/drawing/2014/main" id="{00000000-0008-0000-0000-00008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166</xdr:row>
          <xdr:rowOff>0</xdr:rowOff>
        </xdr:from>
        <xdr:to>
          <xdr:col>8</xdr:col>
          <xdr:colOff>0</xdr:colOff>
          <xdr:row>166</xdr:row>
          <xdr:rowOff>180646</xdr:rowOff>
        </xdr:to>
        <xdr:sp macro="" textlink="">
          <xdr:nvSpPr>
            <xdr:cNvPr id="7314" name="Drop Down 146" hidden="1">
              <a:extLst>
                <a:ext uri="{63B3BB69-23CF-44E3-9099-C40C66FF867C}">
                  <a14:compatExt spid="_x0000_s7314"/>
                </a:ext>
                <a:ext uri="{FF2B5EF4-FFF2-40B4-BE49-F238E27FC236}">
                  <a16:creationId xmlns:a16="http://schemas.microsoft.com/office/drawing/2014/main" id="{00000000-0008-0000-0000-00009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169</xdr:row>
          <xdr:rowOff>180975</xdr:rowOff>
        </xdr:from>
        <xdr:to>
          <xdr:col>8</xdr:col>
          <xdr:colOff>0</xdr:colOff>
          <xdr:row>171</xdr:row>
          <xdr:rowOff>0</xdr:rowOff>
        </xdr:to>
        <xdr:sp macro="" textlink="">
          <xdr:nvSpPr>
            <xdr:cNvPr id="7315" name="Drop Down 147" hidden="1">
              <a:extLst>
                <a:ext uri="{63B3BB69-23CF-44E3-9099-C40C66FF867C}">
                  <a14:compatExt spid="_x0000_s7315"/>
                </a:ext>
                <a:ext uri="{FF2B5EF4-FFF2-40B4-BE49-F238E27FC236}">
                  <a16:creationId xmlns:a16="http://schemas.microsoft.com/office/drawing/2014/main" id="{00000000-0008-0000-0000-00009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174</xdr:row>
          <xdr:rowOff>0</xdr:rowOff>
        </xdr:from>
        <xdr:to>
          <xdr:col>3</xdr:col>
          <xdr:colOff>400050</xdr:colOff>
          <xdr:row>175</xdr:row>
          <xdr:rowOff>28575</xdr:rowOff>
        </xdr:to>
        <xdr:sp macro="" textlink="">
          <xdr:nvSpPr>
            <xdr:cNvPr id="7316" name="Check Box 148" hidden="1">
              <a:extLst>
                <a:ext uri="{63B3BB69-23CF-44E3-9099-C40C66FF867C}">
                  <a14:compatExt spid="_x0000_s7316"/>
                </a:ext>
                <a:ext uri="{FF2B5EF4-FFF2-40B4-BE49-F238E27FC236}">
                  <a16:creationId xmlns:a16="http://schemas.microsoft.com/office/drawing/2014/main" id="{00000000-0008-0000-0000-00009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Person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175</xdr:row>
          <xdr:rowOff>0</xdr:rowOff>
        </xdr:from>
        <xdr:to>
          <xdr:col>3</xdr:col>
          <xdr:colOff>200025</xdr:colOff>
          <xdr:row>176</xdr:row>
          <xdr:rowOff>28575</xdr:rowOff>
        </xdr:to>
        <xdr:sp macro="" textlink="">
          <xdr:nvSpPr>
            <xdr:cNvPr id="7317" name="Check Box 149" hidden="1">
              <a:extLst>
                <a:ext uri="{63B3BB69-23CF-44E3-9099-C40C66FF867C}">
                  <a14:compatExt spid="_x0000_s7317"/>
                </a:ext>
                <a:ext uri="{FF2B5EF4-FFF2-40B4-BE49-F238E27FC236}">
                  <a16:creationId xmlns:a16="http://schemas.microsoft.com/office/drawing/2014/main" id="{00000000-0008-0000-0000-00009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Place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176</xdr:row>
          <xdr:rowOff>0</xdr:rowOff>
        </xdr:from>
        <xdr:to>
          <xdr:col>3</xdr:col>
          <xdr:colOff>400050</xdr:colOff>
          <xdr:row>177</xdr:row>
          <xdr:rowOff>28575</xdr:rowOff>
        </xdr:to>
        <xdr:sp macro="" textlink="">
          <xdr:nvSpPr>
            <xdr:cNvPr id="7318" name="Check Box 150" hidden="1">
              <a:extLst>
                <a:ext uri="{63B3BB69-23CF-44E3-9099-C40C66FF867C}">
                  <a14:compatExt spid="_x0000_s7318"/>
                </a:ext>
                <a:ext uri="{FF2B5EF4-FFF2-40B4-BE49-F238E27FC236}">
                  <a16:creationId xmlns:a16="http://schemas.microsoft.com/office/drawing/2014/main" id="{00000000-0008-0000-0000-00009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177</xdr:row>
          <xdr:rowOff>0</xdr:rowOff>
        </xdr:from>
        <xdr:to>
          <xdr:col>3</xdr:col>
          <xdr:colOff>400050</xdr:colOff>
          <xdr:row>178</xdr:row>
          <xdr:rowOff>28575</xdr:rowOff>
        </xdr:to>
        <xdr:sp macro="" textlink="">
          <xdr:nvSpPr>
            <xdr:cNvPr id="7319" name="Check Box 151" hidden="1">
              <a:extLst>
                <a:ext uri="{63B3BB69-23CF-44E3-9099-C40C66FF867C}">
                  <a14:compatExt spid="_x0000_s7319"/>
                </a:ext>
                <a:ext uri="{FF2B5EF4-FFF2-40B4-BE49-F238E27FC236}">
                  <a16:creationId xmlns:a16="http://schemas.microsoft.com/office/drawing/2014/main" id="{00000000-0008-0000-0000-00009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Event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179</xdr:row>
          <xdr:rowOff>0</xdr:rowOff>
        </xdr:from>
        <xdr:to>
          <xdr:col>3</xdr:col>
          <xdr:colOff>0</xdr:colOff>
          <xdr:row>180</xdr:row>
          <xdr:rowOff>0</xdr:rowOff>
        </xdr:to>
        <xdr:sp macro="" textlink="">
          <xdr:nvSpPr>
            <xdr:cNvPr id="7320" name="Label 152" hidden="1">
              <a:extLst>
                <a:ext uri="{63B3BB69-23CF-44E3-9099-C40C66FF867C}">
                  <a14:compatExt spid="_x0000_s7320"/>
                </a:ext>
                <a:ext uri="{FF2B5EF4-FFF2-40B4-BE49-F238E27FC236}">
                  <a16:creationId xmlns:a16="http://schemas.microsoft.com/office/drawing/2014/main" id="{00000000-0008-0000-0000-00009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Score: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44012</xdr:colOff>
          <xdr:row>130</xdr:row>
          <xdr:rowOff>0</xdr:rowOff>
        </xdr:from>
        <xdr:to>
          <xdr:col>9</xdr:col>
          <xdr:colOff>0</xdr:colOff>
          <xdr:row>142</xdr:row>
          <xdr:rowOff>0</xdr:rowOff>
        </xdr:to>
        <xdr:sp macro="" textlink="">
          <xdr:nvSpPr>
            <xdr:cNvPr id="7321" name="Group Box 153" hidden="1">
              <a:extLst>
                <a:ext uri="{63B3BB69-23CF-44E3-9099-C40C66FF867C}">
                  <a14:compatExt spid="_x0000_s7321"/>
                </a:ext>
                <a:ext uri="{FF2B5EF4-FFF2-40B4-BE49-F238E27FC236}">
                  <a16:creationId xmlns:a16="http://schemas.microsoft.com/office/drawing/2014/main" id="{00000000-0008-0000-0000-00009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Symptoms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131</xdr:row>
          <xdr:rowOff>0</xdr:rowOff>
        </xdr:from>
        <xdr:to>
          <xdr:col>3</xdr:col>
          <xdr:colOff>581025</xdr:colOff>
          <xdr:row>132</xdr:row>
          <xdr:rowOff>28575</xdr:rowOff>
        </xdr:to>
        <xdr:sp macro="" textlink="">
          <xdr:nvSpPr>
            <xdr:cNvPr id="7322" name="Check Box 154" hidden="1">
              <a:extLst>
                <a:ext uri="{63B3BB69-23CF-44E3-9099-C40C66FF867C}">
                  <a14:compatExt spid="_x0000_s7322"/>
                </a:ext>
                <a:ext uri="{FF2B5EF4-FFF2-40B4-BE49-F238E27FC236}">
                  <a16:creationId xmlns:a16="http://schemas.microsoft.com/office/drawing/2014/main" id="{00000000-0008-0000-0000-00009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Pain - Generalized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132</xdr:row>
          <xdr:rowOff>0</xdr:rowOff>
        </xdr:from>
        <xdr:to>
          <xdr:col>3</xdr:col>
          <xdr:colOff>581025</xdr:colOff>
          <xdr:row>133</xdr:row>
          <xdr:rowOff>28575</xdr:rowOff>
        </xdr:to>
        <xdr:sp macro="" textlink="">
          <xdr:nvSpPr>
            <xdr:cNvPr id="7323" name="Check Box 155" hidden="1">
              <a:extLst>
                <a:ext uri="{63B3BB69-23CF-44E3-9099-C40C66FF867C}">
                  <a14:compatExt spid="_x0000_s7323"/>
                </a:ext>
                <a:ext uri="{FF2B5EF4-FFF2-40B4-BE49-F238E27FC236}">
                  <a16:creationId xmlns:a16="http://schemas.microsoft.com/office/drawing/2014/main" id="{00000000-0008-0000-0000-00009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Pain - Localized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132</xdr:row>
          <xdr:rowOff>180975</xdr:rowOff>
        </xdr:from>
        <xdr:to>
          <xdr:col>3</xdr:col>
          <xdr:colOff>581025</xdr:colOff>
          <xdr:row>134</xdr:row>
          <xdr:rowOff>19050</xdr:rowOff>
        </xdr:to>
        <xdr:sp macro="" textlink="">
          <xdr:nvSpPr>
            <xdr:cNvPr id="7324" name="Check Box 156" hidden="1">
              <a:extLst>
                <a:ext uri="{63B3BB69-23CF-44E3-9099-C40C66FF867C}">
                  <a14:compatExt spid="_x0000_s7324"/>
                </a:ext>
                <a:ext uri="{FF2B5EF4-FFF2-40B4-BE49-F238E27FC236}">
                  <a16:creationId xmlns:a16="http://schemas.microsoft.com/office/drawing/2014/main" id="{00000000-0008-0000-0000-00009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Incontinence of 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133</xdr:row>
          <xdr:rowOff>180975</xdr:rowOff>
        </xdr:from>
        <xdr:to>
          <xdr:col>3</xdr:col>
          <xdr:colOff>581025</xdr:colOff>
          <xdr:row>135</xdr:row>
          <xdr:rowOff>19050</xdr:rowOff>
        </xdr:to>
        <xdr:sp macro="" textlink="">
          <xdr:nvSpPr>
            <xdr:cNvPr id="7325" name="Check Box 157" hidden="1">
              <a:extLst>
                <a:ext uri="{63B3BB69-23CF-44E3-9099-C40C66FF867C}">
                  <a14:compatExt spid="_x0000_s7325"/>
                </a:ext>
                <a:ext uri="{FF2B5EF4-FFF2-40B4-BE49-F238E27FC236}">
                  <a16:creationId xmlns:a16="http://schemas.microsoft.com/office/drawing/2014/main" id="{00000000-0008-0000-0000-00009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Incontinence of Bowels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134</xdr:row>
          <xdr:rowOff>180975</xdr:rowOff>
        </xdr:from>
        <xdr:to>
          <xdr:col>3</xdr:col>
          <xdr:colOff>581025</xdr:colOff>
          <xdr:row>136</xdr:row>
          <xdr:rowOff>19050</xdr:rowOff>
        </xdr:to>
        <xdr:sp macro="" textlink="">
          <xdr:nvSpPr>
            <xdr:cNvPr id="7326" name="Check Box 158" hidden="1">
              <a:extLst>
                <a:ext uri="{63B3BB69-23CF-44E3-9099-C40C66FF867C}">
                  <a14:compatExt spid="_x0000_s7326"/>
                </a:ext>
                <a:ext uri="{FF2B5EF4-FFF2-40B4-BE49-F238E27FC236}">
                  <a16:creationId xmlns:a16="http://schemas.microsoft.com/office/drawing/2014/main" id="{00000000-0008-0000-0000-00009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Urinary Retention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135</xdr:row>
          <xdr:rowOff>171450</xdr:rowOff>
        </xdr:from>
        <xdr:to>
          <xdr:col>3</xdr:col>
          <xdr:colOff>581025</xdr:colOff>
          <xdr:row>137</xdr:row>
          <xdr:rowOff>9525</xdr:rowOff>
        </xdr:to>
        <xdr:sp macro="" textlink="">
          <xdr:nvSpPr>
            <xdr:cNvPr id="7327" name="Check Box 159" hidden="1">
              <a:extLst>
                <a:ext uri="{63B3BB69-23CF-44E3-9099-C40C66FF867C}">
                  <a14:compatExt spid="_x0000_s7327"/>
                </a:ext>
                <a:ext uri="{FF2B5EF4-FFF2-40B4-BE49-F238E27FC236}">
                  <a16:creationId xmlns:a16="http://schemas.microsoft.com/office/drawing/2014/main" id="{00000000-0008-0000-0000-00009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Nausea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136</xdr:row>
          <xdr:rowOff>171450</xdr:rowOff>
        </xdr:from>
        <xdr:to>
          <xdr:col>3</xdr:col>
          <xdr:colOff>581025</xdr:colOff>
          <xdr:row>138</xdr:row>
          <xdr:rowOff>9525</xdr:rowOff>
        </xdr:to>
        <xdr:sp macro="" textlink="">
          <xdr:nvSpPr>
            <xdr:cNvPr id="7328" name="Check Box 160" hidden="1">
              <a:extLst>
                <a:ext uri="{63B3BB69-23CF-44E3-9099-C40C66FF867C}">
                  <a14:compatExt spid="_x0000_s7328"/>
                </a:ext>
                <a:ext uri="{FF2B5EF4-FFF2-40B4-BE49-F238E27FC236}">
                  <a16:creationId xmlns:a16="http://schemas.microsoft.com/office/drawing/2014/main" id="{00000000-0008-0000-0000-0000A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Vomiting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137</xdr:row>
          <xdr:rowOff>171450</xdr:rowOff>
        </xdr:from>
        <xdr:to>
          <xdr:col>3</xdr:col>
          <xdr:colOff>581025</xdr:colOff>
          <xdr:row>139</xdr:row>
          <xdr:rowOff>9525</xdr:rowOff>
        </xdr:to>
        <xdr:sp macro="" textlink="">
          <xdr:nvSpPr>
            <xdr:cNvPr id="7329" name="Check Box 161" hidden="1">
              <a:extLst>
                <a:ext uri="{63B3BB69-23CF-44E3-9099-C40C66FF867C}">
                  <a14:compatExt spid="_x0000_s7329"/>
                </a:ext>
                <a:ext uri="{FF2B5EF4-FFF2-40B4-BE49-F238E27FC236}">
                  <a16:creationId xmlns:a16="http://schemas.microsoft.com/office/drawing/2014/main" id="{00000000-0008-0000-0000-0000A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Diarrhea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138</xdr:row>
          <xdr:rowOff>161925</xdr:rowOff>
        </xdr:from>
        <xdr:to>
          <xdr:col>3</xdr:col>
          <xdr:colOff>581025</xdr:colOff>
          <xdr:row>140</xdr:row>
          <xdr:rowOff>0</xdr:rowOff>
        </xdr:to>
        <xdr:sp macro="" textlink="">
          <xdr:nvSpPr>
            <xdr:cNvPr id="7330" name="Check Box 162" hidden="1">
              <a:extLst>
                <a:ext uri="{63B3BB69-23CF-44E3-9099-C40C66FF867C}">
                  <a14:compatExt spid="_x0000_s7330"/>
                </a:ext>
                <a:ext uri="{FF2B5EF4-FFF2-40B4-BE49-F238E27FC236}">
                  <a16:creationId xmlns:a16="http://schemas.microsoft.com/office/drawing/2014/main" id="{00000000-0008-0000-0000-0000A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Constipation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139</xdr:row>
          <xdr:rowOff>161925</xdr:rowOff>
        </xdr:from>
        <xdr:to>
          <xdr:col>3</xdr:col>
          <xdr:colOff>581025</xdr:colOff>
          <xdr:row>141</xdr:row>
          <xdr:rowOff>0</xdr:rowOff>
        </xdr:to>
        <xdr:sp macro="" textlink="">
          <xdr:nvSpPr>
            <xdr:cNvPr id="7331" name="Check Box 163" hidden="1">
              <a:extLst>
                <a:ext uri="{63B3BB69-23CF-44E3-9099-C40C66FF867C}">
                  <a14:compatExt spid="_x0000_s7331"/>
                </a:ext>
                <a:ext uri="{FF2B5EF4-FFF2-40B4-BE49-F238E27FC236}">
                  <a16:creationId xmlns:a16="http://schemas.microsoft.com/office/drawing/2014/main" id="{00000000-0008-0000-0000-0000A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Shortness of Breath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131</xdr:row>
          <xdr:rowOff>0</xdr:rowOff>
        </xdr:from>
        <xdr:to>
          <xdr:col>6</xdr:col>
          <xdr:colOff>114300</xdr:colOff>
          <xdr:row>132</xdr:row>
          <xdr:rowOff>28575</xdr:rowOff>
        </xdr:to>
        <xdr:sp macro="" textlink="">
          <xdr:nvSpPr>
            <xdr:cNvPr id="7332" name="Check Box 164" hidden="1">
              <a:extLst>
                <a:ext uri="{63B3BB69-23CF-44E3-9099-C40C66FF867C}">
                  <a14:compatExt spid="_x0000_s7332"/>
                </a:ext>
                <a:ext uri="{FF2B5EF4-FFF2-40B4-BE49-F238E27FC236}">
                  <a16:creationId xmlns:a16="http://schemas.microsoft.com/office/drawing/2014/main" id="{00000000-0008-0000-0000-0000A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Airway Clearance Difficulty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132</xdr:row>
          <xdr:rowOff>0</xdr:rowOff>
        </xdr:from>
        <xdr:to>
          <xdr:col>6</xdr:col>
          <xdr:colOff>114300</xdr:colOff>
          <xdr:row>133</xdr:row>
          <xdr:rowOff>28575</xdr:rowOff>
        </xdr:to>
        <xdr:sp macro="" textlink="">
          <xdr:nvSpPr>
            <xdr:cNvPr id="7333" name="Check Box 165" hidden="1">
              <a:extLst>
                <a:ext uri="{63B3BB69-23CF-44E3-9099-C40C66FF867C}">
                  <a14:compatExt spid="_x0000_s7333"/>
                </a:ext>
                <a:ext uri="{FF2B5EF4-FFF2-40B4-BE49-F238E27FC236}">
                  <a16:creationId xmlns:a16="http://schemas.microsoft.com/office/drawing/2014/main" id="{00000000-0008-0000-0000-0000A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Confusion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132</xdr:row>
          <xdr:rowOff>180975</xdr:rowOff>
        </xdr:from>
        <xdr:to>
          <xdr:col>6</xdr:col>
          <xdr:colOff>114300</xdr:colOff>
          <xdr:row>134</xdr:row>
          <xdr:rowOff>19050</xdr:rowOff>
        </xdr:to>
        <xdr:sp macro="" textlink="">
          <xdr:nvSpPr>
            <xdr:cNvPr id="7334" name="Check Box 166" hidden="1">
              <a:extLst>
                <a:ext uri="{63B3BB69-23CF-44E3-9099-C40C66FF867C}">
                  <a14:compatExt spid="_x0000_s7334"/>
                </a:ext>
                <a:ext uri="{FF2B5EF4-FFF2-40B4-BE49-F238E27FC236}">
                  <a16:creationId xmlns:a16="http://schemas.microsoft.com/office/drawing/2014/main" id="{00000000-0008-0000-0000-0000A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Drowsiness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133</xdr:row>
          <xdr:rowOff>180975</xdr:rowOff>
        </xdr:from>
        <xdr:to>
          <xdr:col>6</xdr:col>
          <xdr:colOff>114300</xdr:colOff>
          <xdr:row>135</xdr:row>
          <xdr:rowOff>19050</xdr:rowOff>
        </xdr:to>
        <xdr:sp macro="" textlink="">
          <xdr:nvSpPr>
            <xdr:cNvPr id="7335" name="Check Box 167" hidden="1">
              <a:extLst>
                <a:ext uri="{63B3BB69-23CF-44E3-9099-C40C66FF867C}">
                  <a14:compatExt spid="_x0000_s7335"/>
                </a:ext>
                <a:ext uri="{FF2B5EF4-FFF2-40B4-BE49-F238E27FC236}">
                  <a16:creationId xmlns:a16="http://schemas.microsoft.com/office/drawing/2014/main" id="{00000000-0008-0000-0000-0000A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Cough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134</xdr:row>
          <xdr:rowOff>180975</xdr:rowOff>
        </xdr:from>
        <xdr:to>
          <xdr:col>6</xdr:col>
          <xdr:colOff>114300</xdr:colOff>
          <xdr:row>136</xdr:row>
          <xdr:rowOff>19050</xdr:rowOff>
        </xdr:to>
        <xdr:sp macro="" textlink="">
          <xdr:nvSpPr>
            <xdr:cNvPr id="7336" name="Check Box 168" hidden="1">
              <a:extLst>
                <a:ext uri="{63B3BB69-23CF-44E3-9099-C40C66FF867C}">
                  <a14:compatExt spid="_x0000_s7336"/>
                </a:ext>
                <a:ext uri="{FF2B5EF4-FFF2-40B4-BE49-F238E27FC236}">
                  <a16:creationId xmlns:a16="http://schemas.microsoft.com/office/drawing/2014/main" id="{00000000-0008-0000-0000-0000A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Wheezing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135</xdr:row>
          <xdr:rowOff>171450</xdr:rowOff>
        </xdr:from>
        <xdr:to>
          <xdr:col>6</xdr:col>
          <xdr:colOff>114300</xdr:colOff>
          <xdr:row>137</xdr:row>
          <xdr:rowOff>9525</xdr:rowOff>
        </xdr:to>
        <xdr:sp macro="" textlink="">
          <xdr:nvSpPr>
            <xdr:cNvPr id="7337" name="Check Box 169" hidden="1">
              <a:extLst>
                <a:ext uri="{63B3BB69-23CF-44E3-9099-C40C66FF867C}">
                  <a14:compatExt spid="_x0000_s7337"/>
                </a:ext>
                <a:ext uri="{FF2B5EF4-FFF2-40B4-BE49-F238E27FC236}">
                  <a16:creationId xmlns:a16="http://schemas.microsoft.com/office/drawing/2014/main" id="{00000000-0008-0000-0000-0000A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Palpitations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136</xdr:row>
          <xdr:rowOff>171450</xdr:rowOff>
        </xdr:from>
        <xdr:to>
          <xdr:col>6</xdr:col>
          <xdr:colOff>114300</xdr:colOff>
          <xdr:row>138</xdr:row>
          <xdr:rowOff>9525</xdr:rowOff>
        </xdr:to>
        <xdr:sp macro="" textlink="">
          <xdr:nvSpPr>
            <xdr:cNvPr id="7338" name="Check Box 170" hidden="1">
              <a:extLst>
                <a:ext uri="{63B3BB69-23CF-44E3-9099-C40C66FF867C}">
                  <a14:compatExt spid="_x0000_s7338"/>
                </a:ext>
                <a:ext uri="{FF2B5EF4-FFF2-40B4-BE49-F238E27FC236}">
                  <a16:creationId xmlns:a16="http://schemas.microsoft.com/office/drawing/2014/main" id="{00000000-0008-0000-0000-0000A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Tachycardia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137</xdr:row>
          <xdr:rowOff>171450</xdr:rowOff>
        </xdr:from>
        <xdr:to>
          <xdr:col>6</xdr:col>
          <xdr:colOff>114300</xdr:colOff>
          <xdr:row>139</xdr:row>
          <xdr:rowOff>9525</xdr:rowOff>
        </xdr:to>
        <xdr:sp macro="" textlink="">
          <xdr:nvSpPr>
            <xdr:cNvPr id="7339" name="Check Box 171" hidden="1">
              <a:extLst>
                <a:ext uri="{63B3BB69-23CF-44E3-9099-C40C66FF867C}">
                  <a14:compatExt spid="_x0000_s7339"/>
                </a:ext>
                <a:ext uri="{FF2B5EF4-FFF2-40B4-BE49-F238E27FC236}">
                  <a16:creationId xmlns:a16="http://schemas.microsoft.com/office/drawing/2014/main" id="{00000000-0008-0000-0000-0000A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Bradycardia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138</xdr:row>
          <xdr:rowOff>161925</xdr:rowOff>
        </xdr:from>
        <xdr:to>
          <xdr:col>6</xdr:col>
          <xdr:colOff>114300</xdr:colOff>
          <xdr:row>140</xdr:row>
          <xdr:rowOff>0</xdr:rowOff>
        </xdr:to>
        <xdr:sp macro="" textlink="">
          <xdr:nvSpPr>
            <xdr:cNvPr id="7340" name="Check Box 172" hidden="1">
              <a:extLst>
                <a:ext uri="{63B3BB69-23CF-44E3-9099-C40C66FF867C}">
                  <a14:compatExt spid="_x0000_s7340"/>
                </a:ext>
                <a:ext uri="{FF2B5EF4-FFF2-40B4-BE49-F238E27FC236}">
                  <a16:creationId xmlns:a16="http://schemas.microsoft.com/office/drawing/2014/main" id="{00000000-0008-0000-0000-0000A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Hypertension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139</xdr:row>
          <xdr:rowOff>161925</xdr:rowOff>
        </xdr:from>
        <xdr:to>
          <xdr:col>6</xdr:col>
          <xdr:colOff>114300</xdr:colOff>
          <xdr:row>141</xdr:row>
          <xdr:rowOff>0</xdr:rowOff>
        </xdr:to>
        <xdr:sp macro="" textlink="">
          <xdr:nvSpPr>
            <xdr:cNvPr id="7341" name="Check Box 173" hidden="1">
              <a:extLst>
                <a:ext uri="{63B3BB69-23CF-44E3-9099-C40C66FF867C}">
                  <a14:compatExt spid="_x0000_s7341"/>
                </a:ext>
                <a:ext uri="{FF2B5EF4-FFF2-40B4-BE49-F238E27FC236}">
                  <a16:creationId xmlns:a16="http://schemas.microsoft.com/office/drawing/2014/main" id="{00000000-0008-0000-0000-0000A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Hypotension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131</xdr:row>
          <xdr:rowOff>0</xdr:rowOff>
        </xdr:from>
        <xdr:to>
          <xdr:col>9</xdr:col>
          <xdr:colOff>0</xdr:colOff>
          <xdr:row>132</xdr:row>
          <xdr:rowOff>28575</xdr:rowOff>
        </xdr:to>
        <xdr:sp macro="" textlink="">
          <xdr:nvSpPr>
            <xdr:cNvPr id="7342" name="Check Box 174" hidden="1">
              <a:extLst>
                <a:ext uri="{63B3BB69-23CF-44E3-9099-C40C66FF867C}">
                  <a14:compatExt spid="_x0000_s7342"/>
                </a:ext>
                <a:ext uri="{FF2B5EF4-FFF2-40B4-BE49-F238E27FC236}">
                  <a16:creationId xmlns:a16="http://schemas.microsoft.com/office/drawing/2014/main" id="{00000000-0008-0000-0000-0000A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Cognitive Impairment (severe)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131</xdr:row>
          <xdr:rowOff>180975</xdr:rowOff>
        </xdr:from>
        <xdr:to>
          <xdr:col>9</xdr:col>
          <xdr:colOff>0</xdr:colOff>
          <xdr:row>133</xdr:row>
          <xdr:rowOff>19050</xdr:rowOff>
        </xdr:to>
        <xdr:sp macro="" textlink="">
          <xdr:nvSpPr>
            <xdr:cNvPr id="7343" name="Check Box 175" hidden="1">
              <a:extLst>
                <a:ext uri="{63B3BB69-23CF-44E3-9099-C40C66FF867C}">
                  <a14:compatExt spid="_x0000_s7343"/>
                </a:ext>
                <a:ext uri="{FF2B5EF4-FFF2-40B4-BE49-F238E27FC236}">
                  <a16:creationId xmlns:a16="http://schemas.microsoft.com/office/drawing/2014/main" id="{00000000-0008-0000-0000-0000A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Cognitive Impairment (mild)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132</xdr:row>
          <xdr:rowOff>180975</xdr:rowOff>
        </xdr:from>
        <xdr:to>
          <xdr:col>8</xdr:col>
          <xdr:colOff>200025</xdr:colOff>
          <xdr:row>134</xdr:row>
          <xdr:rowOff>19050</xdr:rowOff>
        </xdr:to>
        <xdr:sp macro="" textlink="">
          <xdr:nvSpPr>
            <xdr:cNvPr id="7344" name="Check Box 176" hidden="1">
              <a:extLst>
                <a:ext uri="{63B3BB69-23CF-44E3-9099-C40C66FF867C}">
                  <a14:compatExt spid="_x0000_s7344"/>
                </a:ext>
                <a:ext uri="{FF2B5EF4-FFF2-40B4-BE49-F238E27FC236}">
                  <a16:creationId xmlns:a16="http://schemas.microsoft.com/office/drawing/2014/main" id="{00000000-0008-0000-0000-0000B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Weakness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133</xdr:row>
          <xdr:rowOff>171450</xdr:rowOff>
        </xdr:from>
        <xdr:to>
          <xdr:col>8</xdr:col>
          <xdr:colOff>200025</xdr:colOff>
          <xdr:row>135</xdr:row>
          <xdr:rowOff>9525</xdr:rowOff>
        </xdr:to>
        <xdr:sp macro="" textlink="">
          <xdr:nvSpPr>
            <xdr:cNvPr id="7345" name="Check Box 177" hidden="1">
              <a:extLst>
                <a:ext uri="{63B3BB69-23CF-44E3-9099-C40C66FF867C}">
                  <a14:compatExt spid="_x0000_s7345"/>
                </a:ext>
                <a:ext uri="{FF2B5EF4-FFF2-40B4-BE49-F238E27FC236}">
                  <a16:creationId xmlns:a16="http://schemas.microsoft.com/office/drawing/2014/main" id="{00000000-0008-0000-0000-0000B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Fever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134</xdr:row>
          <xdr:rowOff>171450</xdr:rowOff>
        </xdr:from>
        <xdr:to>
          <xdr:col>8</xdr:col>
          <xdr:colOff>200025</xdr:colOff>
          <xdr:row>136</xdr:row>
          <xdr:rowOff>9525</xdr:rowOff>
        </xdr:to>
        <xdr:sp macro="" textlink="">
          <xdr:nvSpPr>
            <xdr:cNvPr id="7346" name="Check Box 178" hidden="1">
              <a:extLst>
                <a:ext uri="{63B3BB69-23CF-44E3-9099-C40C66FF867C}">
                  <a14:compatExt spid="_x0000_s7346"/>
                </a:ext>
                <a:ext uri="{FF2B5EF4-FFF2-40B4-BE49-F238E27FC236}">
                  <a16:creationId xmlns:a16="http://schemas.microsoft.com/office/drawing/2014/main" id="{00000000-0008-0000-0000-0000B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Anorexia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135</xdr:row>
          <xdr:rowOff>161925</xdr:rowOff>
        </xdr:from>
        <xdr:to>
          <xdr:col>8</xdr:col>
          <xdr:colOff>200025</xdr:colOff>
          <xdr:row>137</xdr:row>
          <xdr:rowOff>0</xdr:rowOff>
        </xdr:to>
        <xdr:sp macro="" textlink="">
          <xdr:nvSpPr>
            <xdr:cNvPr id="7347" name="Check Box 179" hidden="1">
              <a:extLst>
                <a:ext uri="{63B3BB69-23CF-44E3-9099-C40C66FF867C}">
                  <a14:compatExt spid="_x0000_s7347"/>
                </a:ext>
                <a:ext uri="{FF2B5EF4-FFF2-40B4-BE49-F238E27FC236}">
                  <a16:creationId xmlns:a16="http://schemas.microsoft.com/office/drawing/2014/main" id="{00000000-0008-0000-0000-0000B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Adipsia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136</xdr:row>
          <xdr:rowOff>161925</xdr:rowOff>
        </xdr:from>
        <xdr:to>
          <xdr:col>8</xdr:col>
          <xdr:colOff>200025</xdr:colOff>
          <xdr:row>138</xdr:row>
          <xdr:rowOff>0</xdr:rowOff>
        </xdr:to>
        <xdr:sp macro="" textlink="">
          <xdr:nvSpPr>
            <xdr:cNvPr id="7348" name="Check Box 180" hidden="1">
              <a:extLst>
                <a:ext uri="{63B3BB69-23CF-44E3-9099-C40C66FF867C}">
                  <a14:compatExt spid="_x0000_s7348"/>
                </a:ext>
                <a:ext uri="{FF2B5EF4-FFF2-40B4-BE49-F238E27FC236}">
                  <a16:creationId xmlns:a16="http://schemas.microsoft.com/office/drawing/2014/main" id="{00000000-0008-0000-0000-0000B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Agitation/Restlessness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165</xdr:row>
          <xdr:rowOff>0</xdr:rowOff>
        </xdr:from>
        <xdr:to>
          <xdr:col>9</xdr:col>
          <xdr:colOff>0</xdr:colOff>
          <xdr:row>172</xdr:row>
          <xdr:rowOff>0</xdr:rowOff>
        </xdr:to>
        <xdr:sp macro="" textlink="">
          <xdr:nvSpPr>
            <xdr:cNvPr id="7349" name="Group Box 181" hidden="1">
              <a:extLst>
                <a:ext uri="{63B3BB69-23CF-44E3-9099-C40C66FF867C}">
                  <a14:compatExt spid="_x0000_s7349"/>
                </a:ext>
                <a:ext uri="{FF2B5EF4-FFF2-40B4-BE49-F238E27FC236}">
                  <a16:creationId xmlns:a16="http://schemas.microsoft.com/office/drawing/2014/main" id="{00000000-0008-0000-0000-0000B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Memory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167</xdr:row>
          <xdr:rowOff>180975</xdr:rowOff>
        </xdr:from>
        <xdr:to>
          <xdr:col>8</xdr:col>
          <xdr:colOff>0</xdr:colOff>
          <xdr:row>169</xdr:row>
          <xdr:rowOff>0</xdr:rowOff>
        </xdr:to>
        <xdr:sp macro="" textlink="">
          <xdr:nvSpPr>
            <xdr:cNvPr id="7350" name="Drop Down 182" hidden="1">
              <a:extLst>
                <a:ext uri="{63B3BB69-23CF-44E3-9099-C40C66FF867C}">
                  <a14:compatExt spid="_x0000_s7350"/>
                </a:ext>
                <a:ext uri="{FF2B5EF4-FFF2-40B4-BE49-F238E27FC236}">
                  <a16:creationId xmlns:a16="http://schemas.microsoft.com/office/drawing/2014/main" id="{00000000-0008-0000-0000-0000B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</xdr:colOff>
          <xdr:row>144</xdr:row>
          <xdr:rowOff>0</xdr:rowOff>
        </xdr:from>
        <xdr:to>
          <xdr:col>7</xdr:col>
          <xdr:colOff>504825</xdr:colOff>
          <xdr:row>146</xdr:row>
          <xdr:rowOff>180646</xdr:rowOff>
        </xdr:to>
        <xdr:sp macro="" textlink="">
          <xdr:nvSpPr>
            <xdr:cNvPr id="7351" name="TextBox7" hidden="1">
              <a:extLst>
                <a:ext uri="{63B3BB69-23CF-44E3-9099-C40C66FF867C}">
                  <a14:compatExt spid="_x0000_s7351"/>
                </a:ext>
                <a:ext uri="{FF2B5EF4-FFF2-40B4-BE49-F238E27FC236}">
                  <a16:creationId xmlns:a16="http://schemas.microsoft.com/office/drawing/2014/main" id="{00000000-0008-0000-0000-0000B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153</xdr:row>
          <xdr:rowOff>0</xdr:rowOff>
        </xdr:from>
        <xdr:to>
          <xdr:col>7</xdr:col>
          <xdr:colOff>0</xdr:colOff>
          <xdr:row>163</xdr:row>
          <xdr:rowOff>180646</xdr:rowOff>
        </xdr:to>
        <xdr:sp macro="" textlink="">
          <xdr:nvSpPr>
            <xdr:cNvPr id="7352" name="Group Box 184" hidden="1">
              <a:extLst>
                <a:ext uri="{63B3BB69-23CF-44E3-9099-C40C66FF867C}">
                  <a14:compatExt spid="_x0000_s7352"/>
                </a:ext>
                <a:ext uri="{FF2B5EF4-FFF2-40B4-BE49-F238E27FC236}">
                  <a16:creationId xmlns:a16="http://schemas.microsoft.com/office/drawing/2014/main" id="{00000000-0008-0000-0000-0000B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Glasgow Coma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160</xdr:row>
          <xdr:rowOff>0</xdr:rowOff>
        </xdr:from>
        <xdr:to>
          <xdr:col>3</xdr:col>
          <xdr:colOff>400050</xdr:colOff>
          <xdr:row>161</xdr:row>
          <xdr:rowOff>0</xdr:rowOff>
        </xdr:to>
        <xdr:sp macro="" textlink="">
          <xdr:nvSpPr>
            <xdr:cNvPr id="7353" name="Label 185" hidden="1">
              <a:extLst>
                <a:ext uri="{63B3BB69-23CF-44E3-9099-C40C66FF867C}">
                  <a14:compatExt spid="_x0000_s7353"/>
                </a:ext>
                <a:ext uri="{FF2B5EF4-FFF2-40B4-BE49-F238E27FC236}">
                  <a16:creationId xmlns:a16="http://schemas.microsoft.com/office/drawing/2014/main" id="{00000000-0008-0000-0000-0000B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Score: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173</xdr:row>
          <xdr:rowOff>0</xdr:rowOff>
        </xdr:from>
        <xdr:to>
          <xdr:col>5</xdr:col>
          <xdr:colOff>0</xdr:colOff>
          <xdr:row>180</xdr:row>
          <xdr:rowOff>0</xdr:rowOff>
        </xdr:to>
        <xdr:sp macro="" textlink="">
          <xdr:nvSpPr>
            <xdr:cNvPr id="7354" name="Group Box 186" hidden="1">
              <a:extLst>
                <a:ext uri="{63B3BB69-23CF-44E3-9099-C40C66FF867C}">
                  <a14:compatExt spid="_x0000_s7354"/>
                </a:ext>
                <a:ext uri="{FF2B5EF4-FFF2-40B4-BE49-F238E27FC236}">
                  <a16:creationId xmlns:a16="http://schemas.microsoft.com/office/drawing/2014/main" id="{00000000-0008-0000-0000-0000B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Orientation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7367" name="Group Box 199" hidden="1">
              <a:extLst>
                <a:ext uri="{63B3BB69-23CF-44E3-9099-C40C66FF867C}">
                  <a14:compatExt spid="_x0000_s7367"/>
                </a:ext>
                <a:ext uri="{FF2B5EF4-FFF2-40B4-BE49-F238E27FC236}">
                  <a16:creationId xmlns:a16="http://schemas.microsoft.com/office/drawing/2014/main" id="{00000000-0008-0000-0000-0000C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Patient Demographics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0</xdr:rowOff>
        </xdr:from>
        <xdr:to>
          <xdr:col>10</xdr:col>
          <xdr:colOff>0</xdr:colOff>
          <xdr:row>78</xdr:row>
          <xdr:rowOff>0</xdr:rowOff>
        </xdr:to>
        <xdr:sp macro="" textlink="">
          <xdr:nvSpPr>
            <xdr:cNvPr id="7368" name="Group Box 200" hidden="1">
              <a:extLst>
                <a:ext uri="{63B3BB69-23CF-44E3-9099-C40C66FF867C}">
                  <a14:compatExt spid="_x0000_s7368"/>
                </a:ext>
                <a:ext uri="{FF2B5EF4-FFF2-40B4-BE49-F238E27FC236}">
                  <a16:creationId xmlns:a16="http://schemas.microsoft.com/office/drawing/2014/main" id="{00000000-0008-0000-0000-0000C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Pre-Experience Evaluation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9</xdr:col>
          <xdr:colOff>0</xdr:colOff>
          <xdr:row>128</xdr:row>
          <xdr:rowOff>0</xdr:rowOff>
        </xdr:to>
        <xdr:sp macro="" textlink="">
          <xdr:nvSpPr>
            <xdr:cNvPr id="7369" name="Group Box 201" hidden="1">
              <a:extLst>
                <a:ext uri="{63B3BB69-23CF-44E3-9099-C40C66FF867C}">
                  <a14:compatExt spid="_x0000_s7369"/>
                </a:ext>
                <a:ext uri="{FF2B5EF4-FFF2-40B4-BE49-F238E27FC236}">
                  <a16:creationId xmlns:a16="http://schemas.microsoft.com/office/drawing/2014/main" id="{00000000-0008-0000-0000-0000C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Experience Evaluation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129</xdr:row>
          <xdr:rowOff>0</xdr:rowOff>
        </xdr:from>
        <xdr:to>
          <xdr:col>10</xdr:col>
          <xdr:colOff>0</xdr:colOff>
          <xdr:row>181</xdr:row>
          <xdr:rowOff>328</xdr:rowOff>
        </xdr:to>
        <xdr:sp macro="" textlink="">
          <xdr:nvSpPr>
            <xdr:cNvPr id="7370" name="Group Box 202" hidden="1">
              <a:extLst>
                <a:ext uri="{63B3BB69-23CF-44E3-9099-C40C66FF867C}">
                  <a14:compatExt spid="_x0000_s7370"/>
                </a:ext>
                <a:ext uri="{FF2B5EF4-FFF2-40B4-BE49-F238E27FC236}">
                  <a16:creationId xmlns:a16="http://schemas.microsoft.com/office/drawing/2014/main" id="{00000000-0008-0000-0000-0000C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Post-Experience Evaluation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166</xdr:row>
          <xdr:rowOff>0</xdr:rowOff>
        </xdr:from>
        <xdr:to>
          <xdr:col>3</xdr:col>
          <xdr:colOff>400050</xdr:colOff>
          <xdr:row>166</xdr:row>
          <xdr:rowOff>180646</xdr:rowOff>
        </xdr:to>
        <xdr:sp macro="" textlink="">
          <xdr:nvSpPr>
            <xdr:cNvPr id="7374" name="Label 206" hidden="1">
              <a:extLst>
                <a:ext uri="{63B3BB69-23CF-44E3-9099-C40C66FF867C}">
                  <a14:compatExt spid="_x0000_s7374"/>
                </a:ext>
                <a:ext uri="{FF2B5EF4-FFF2-40B4-BE49-F238E27FC236}">
                  <a16:creationId xmlns:a16="http://schemas.microsoft.com/office/drawing/2014/main" id="{00000000-0008-0000-0000-0000C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Long Term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168</xdr:row>
          <xdr:rowOff>9525</xdr:rowOff>
        </xdr:from>
        <xdr:to>
          <xdr:col>3</xdr:col>
          <xdr:colOff>0</xdr:colOff>
          <xdr:row>169</xdr:row>
          <xdr:rowOff>9525</xdr:rowOff>
        </xdr:to>
        <xdr:sp macro="" textlink="">
          <xdr:nvSpPr>
            <xdr:cNvPr id="7375" name="Label 207" hidden="1">
              <a:extLst>
                <a:ext uri="{63B3BB69-23CF-44E3-9099-C40C66FF867C}">
                  <a14:compatExt spid="_x0000_s7375"/>
                </a:ext>
                <a:ext uri="{FF2B5EF4-FFF2-40B4-BE49-F238E27FC236}">
                  <a16:creationId xmlns:a16="http://schemas.microsoft.com/office/drawing/2014/main" id="{00000000-0008-0000-0000-0000C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Short Term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170</xdr:row>
          <xdr:rowOff>0</xdr:rowOff>
        </xdr:from>
        <xdr:to>
          <xdr:col>3</xdr:col>
          <xdr:colOff>400050</xdr:colOff>
          <xdr:row>171</xdr:row>
          <xdr:rowOff>0</xdr:rowOff>
        </xdr:to>
        <xdr:sp macro="" textlink="">
          <xdr:nvSpPr>
            <xdr:cNvPr id="7376" name="Label 208" hidden="1">
              <a:extLst>
                <a:ext uri="{63B3BB69-23CF-44E3-9099-C40C66FF867C}">
                  <a14:compatExt spid="_x0000_s7376"/>
                </a:ext>
                <a:ext uri="{FF2B5EF4-FFF2-40B4-BE49-F238E27FC236}">
                  <a16:creationId xmlns:a16="http://schemas.microsoft.com/office/drawing/2014/main" id="{00000000-0008-0000-0000-0000D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Recall Speed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38100</xdr:rowOff>
        </xdr:to>
        <xdr:sp macro="" textlink="">
          <xdr:nvSpPr>
            <xdr:cNvPr id="7378" name="TextBox8" hidden="1">
              <a:extLst>
                <a:ext uri="{63B3BB69-23CF-44E3-9099-C40C66FF867C}">
                  <a14:compatExt spid="_x0000_s7378"/>
                </a:ext>
                <a:ext uri="{FF2B5EF4-FFF2-40B4-BE49-F238E27FC236}">
                  <a16:creationId xmlns:a16="http://schemas.microsoft.com/office/drawing/2014/main" id="{00000000-0008-0000-0000-0000D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109</xdr:row>
          <xdr:rowOff>152400</xdr:rowOff>
        </xdr:from>
        <xdr:to>
          <xdr:col>4</xdr:col>
          <xdr:colOff>600075</xdr:colOff>
          <xdr:row>111</xdr:row>
          <xdr:rowOff>47625</xdr:rowOff>
        </xdr:to>
        <xdr:sp macro="" textlink="">
          <xdr:nvSpPr>
            <xdr:cNvPr id="7379" name="TextBox9" hidden="1">
              <a:extLst>
                <a:ext uri="{63B3BB69-23CF-44E3-9099-C40C66FF867C}">
                  <a14:compatExt spid="_x0000_s7379"/>
                </a:ext>
                <a:ext uri="{FF2B5EF4-FFF2-40B4-BE49-F238E27FC236}">
                  <a16:creationId xmlns:a16="http://schemas.microsoft.com/office/drawing/2014/main" id="{00000000-0008-0000-0000-0000D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111</xdr:row>
          <xdr:rowOff>114300</xdr:rowOff>
        </xdr:from>
        <xdr:to>
          <xdr:col>5</xdr:col>
          <xdr:colOff>0</xdr:colOff>
          <xdr:row>113</xdr:row>
          <xdr:rowOff>19050</xdr:rowOff>
        </xdr:to>
        <xdr:sp macro="" textlink="">
          <xdr:nvSpPr>
            <xdr:cNvPr id="7380" name="TextBox10" hidden="1">
              <a:extLst>
                <a:ext uri="{63B3BB69-23CF-44E3-9099-C40C66FF867C}">
                  <a14:compatExt spid="_x0000_s7380"/>
                </a:ext>
                <a:ext uri="{FF2B5EF4-FFF2-40B4-BE49-F238E27FC236}">
                  <a16:creationId xmlns:a16="http://schemas.microsoft.com/office/drawing/2014/main" id="{00000000-0008-0000-0000-0000D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111</xdr:row>
          <xdr:rowOff>114300</xdr:rowOff>
        </xdr:from>
        <xdr:to>
          <xdr:col>7</xdr:col>
          <xdr:colOff>0</xdr:colOff>
          <xdr:row>113</xdr:row>
          <xdr:rowOff>19050</xdr:rowOff>
        </xdr:to>
        <xdr:sp macro="" textlink="">
          <xdr:nvSpPr>
            <xdr:cNvPr id="7382" name="TextBox11" hidden="1">
              <a:extLst>
                <a:ext uri="{63B3BB69-23CF-44E3-9099-C40C66FF867C}">
                  <a14:compatExt spid="_x0000_s7382"/>
                </a:ext>
                <a:ext uri="{FF2B5EF4-FFF2-40B4-BE49-F238E27FC236}">
                  <a16:creationId xmlns:a16="http://schemas.microsoft.com/office/drawing/2014/main" id="{00000000-0008-0000-0000-0000D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161</xdr:row>
          <xdr:rowOff>171450</xdr:rowOff>
        </xdr:from>
        <xdr:to>
          <xdr:col>3</xdr:col>
          <xdr:colOff>438150</xdr:colOff>
          <xdr:row>162</xdr:row>
          <xdr:rowOff>171450</xdr:rowOff>
        </xdr:to>
        <xdr:sp macro="" textlink="">
          <xdr:nvSpPr>
            <xdr:cNvPr id="7383" name="Label 215" hidden="1">
              <a:extLst>
                <a:ext uri="{63B3BB69-23CF-44E3-9099-C40C66FF867C}">
                  <a14:compatExt spid="_x0000_s7383"/>
                </a:ext>
                <a:ext uri="{FF2B5EF4-FFF2-40B4-BE49-F238E27FC236}">
                  <a16:creationId xmlns:a16="http://schemas.microsoft.com/office/drawing/2014/main" id="{00000000-0008-0000-0000-0000D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Level of Interaction: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161</xdr:row>
          <xdr:rowOff>180975</xdr:rowOff>
        </xdr:from>
        <xdr:to>
          <xdr:col>5</xdr:col>
          <xdr:colOff>653611</xdr:colOff>
          <xdr:row>163</xdr:row>
          <xdr:rowOff>0</xdr:rowOff>
        </xdr:to>
        <xdr:sp macro="" textlink="">
          <xdr:nvSpPr>
            <xdr:cNvPr id="7384" name="Drop Down 216" hidden="1">
              <a:extLst>
                <a:ext uri="{63B3BB69-23CF-44E3-9099-C40C66FF867C}">
                  <a14:compatExt spid="_x0000_s7384"/>
                </a:ext>
                <a:ext uri="{FF2B5EF4-FFF2-40B4-BE49-F238E27FC236}">
                  <a16:creationId xmlns:a16="http://schemas.microsoft.com/office/drawing/2014/main" id="{00000000-0008-0000-0000-0000D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2.xml"/><Relationship Id="rId21" Type="http://schemas.openxmlformats.org/officeDocument/2006/relationships/image" Target="../media/image9.emf"/><Relationship Id="rId42" Type="http://schemas.openxmlformats.org/officeDocument/2006/relationships/ctrlProp" Target="../ctrlProps/ctrlProp17.xml"/><Relationship Id="rId63" Type="http://schemas.openxmlformats.org/officeDocument/2006/relationships/ctrlProp" Target="../ctrlProps/ctrlProp38.xml"/><Relationship Id="rId84" Type="http://schemas.openxmlformats.org/officeDocument/2006/relationships/ctrlProp" Target="../ctrlProps/ctrlProp59.xml"/><Relationship Id="rId138" Type="http://schemas.openxmlformats.org/officeDocument/2006/relationships/ctrlProp" Target="../ctrlProps/ctrlProp113.xml"/><Relationship Id="rId159" Type="http://schemas.openxmlformats.org/officeDocument/2006/relationships/ctrlProp" Target="../ctrlProps/ctrlProp134.xml"/><Relationship Id="rId170" Type="http://schemas.openxmlformats.org/officeDocument/2006/relationships/ctrlProp" Target="../ctrlProps/ctrlProp145.xml"/><Relationship Id="rId107" Type="http://schemas.openxmlformats.org/officeDocument/2006/relationships/ctrlProp" Target="../ctrlProps/ctrlProp82.xml"/><Relationship Id="rId11" Type="http://schemas.openxmlformats.org/officeDocument/2006/relationships/image" Target="../media/image4.emf"/><Relationship Id="rId32" Type="http://schemas.openxmlformats.org/officeDocument/2006/relationships/ctrlProp" Target="../ctrlProps/ctrlProp7.xml"/><Relationship Id="rId53" Type="http://schemas.openxmlformats.org/officeDocument/2006/relationships/ctrlProp" Target="../ctrlProps/ctrlProp28.xml"/><Relationship Id="rId74" Type="http://schemas.openxmlformats.org/officeDocument/2006/relationships/ctrlProp" Target="../ctrlProps/ctrlProp49.xml"/><Relationship Id="rId128" Type="http://schemas.openxmlformats.org/officeDocument/2006/relationships/ctrlProp" Target="../ctrlProps/ctrlProp103.xml"/><Relationship Id="rId149" Type="http://schemas.openxmlformats.org/officeDocument/2006/relationships/ctrlProp" Target="../ctrlProps/ctrlProp124.xml"/><Relationship Id="rId5" Type="http://schemas.openxmlformats.org/officeDocument/2006/relationships/image" Target="../media/image1.emf"/><Relationship Id="rId95" Type="http://schemas.openxmlformats.org/officeDocument/2006/relationships/ctrlProp" Target="../ctrlProps/ctrlProp70.xml"/><Relationship Id="rId160" Type="http://schemas.openxmlformats.org/officeDocument/2006/relationships/ctrlProp" Target="../ctrlProps/ctrlProp135.xml"/><Relationship Id="rId22" Type="http://schemas.openxmlformats.org/officeDocument/2006/relationships/control" Target="../activeX/activeX10.xml"/><Relationship Id="rId43" Type="http://schemas.openxmlformats.org/officeDocument/2006/relationships/ctrlProp" Target="../ctrlProps/ctrlProp18.xml"/><Relationship Id="rId64" Type="http://schemas.openxmlformats.org/officeDocument/2006/relationships/ctrlProp" Target="../ctrlProps/ctrlProp39.xml"/><Relationship Id="rId118" Type="http://schemas.openxmlformats.org/officeDocument/2006/relationships/ctrlProp" Target="../ctrlProps/ctrlProp93.xml"/><Relationship Id="rId139" Type="http://schemas.openxmlformats.org/officeDocument/2006/relationships/ctrlProp" Target="../ctrlProps/ctrlProp114.xml"/><Relationship Id="rId85" Type="http://schemas.openxmlformats.org/officeDocument/2006/relationships/ctrlProp" Target="../ctrlProps/ctrlProp60.xml"/><Relationship Id="rId150" Type="http://schemas.openxmlformats.org/officeDocument/2006/relationships/ctrlProp" Target="../ctrlProps/ctrlProp125.xml"/><Relationship Id="rId171" Type="http://schemas.openxmlformats.org/officeDocument/2006/relationships/ctrlProp" Target="../ctrlProps/ctrlProp146.xml"/><Relationship Id="rId12" Type="http://schemas.openxmlformats.org/officeDocument/2006/relationships/control" Target="../activeX/activeX5.xml"/><Relationship Id="rId33" Type="http://schemas.openxmlformats.org/officeDocument/2006/relationships/ctrlProp" Target="../ctrlProps/ctrlProp8.xml"/><Relationship Id="rId108" Type="http://schemas.openxmlformats.org/officeDocument/2006/relationships/ctrlProp" Target="../ctrlProps/ctrlProp83.xml"/><Relationship Id="rId129" Type="http://schemas.openxmlformats.org/officeDocument/2006/relationships/ctrlProp" Target="../ctrlProps/ctrlProp104.xml"/><Relationship Id="rId54" Type="http://schemas.openxmlformats.org/officeDocument/2006/relationships/ctrlProp" Target="../ctrlProps/ctrlProp29.xml"/><Relationship Id="rId75" Type="http://schemas.openxmlformats.org/officeDocument/2006/relationships/ctrlProp" Target="../ctrlProps/ctrlProp50.xml"/><Relationship Id="rId96" Type="http://schemas.openxmlformats.org/officeDocument/2006/relationships/ctrlProp" Target="../ctrlProps/ctrlProp71.xml"/><Relationship Id="rId140" Type="http://schemas.openxmlformats.org/officeDocument/2006/relationships/ctrlProp" Target="../ctrlProps/ctrlProp115.xml"/><Relationship Id="rId161" Type="http://schemas.openxmlformats.org/officeDocument/2006/relationships/ctrlProp" Target="../ctrlProps/ctrlProp136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3" Type="http://schemas.openxmlformats.org/officeDocument/2006/relationships/image" Target="../media/image10.emf"/><Relationship Id="rId28" Type="http://schemas.openxmlformats.org/officeDocument/2006/relationships/ctrlProp" Target="../ctrlProps/ctrlProp3.xml"/><Relationship Id="rId49" Type="http://schemas.openxmlformats.org/officeDocument/2006/relationships/ctrlProp" Target="../ctrlProps/ctrlProp24.xml"/><Relationship Id="rId114" Type="http://schemas.openxmlformats.org/officeDocument/2006/relationships/ctrlProp" Target="../ctrlProps/ctrlProp89.xml"/><Relationship Id="rId119" Type="http://schemas.openxmlformats.org/officeDocument/2006/relationships/ctrlProp" Target="../ctrlProps/ctrlProp94.xml"/><Relationship Id="rId44" Type="http://schemas.openxmlformats.org/officeDocument/2006/relationships/ctrlProp" Target="../ctrlProps/ctrlProp19.xml"/><Relationship Id="rId60" Type="http://schemas.openxmlformats.org/officeDocument/2006/relationships/ctrlProp" Target="../ctrlProps/ctrlProp35.xml"/><Relationship Id="rId65" Type="http://schemas.openxmlformats.org/officeDocument/2006/relationships/ctrlProp" Target="../ctrlProps/ctrlProp40.xml"/><Relationship Id="rId81" Type="http://schemas.openxmlformats.org/officeDocument/2006/relationships/ctrlProp" Target="../ctrlProps/ctrlProp56.xml"/><Relationship Id="rId86" Type="http://schemas.openxmlformats.org/officeDocument/2006/relationships/ctrlProp" Target="../ctrlProps/ctrlProp61.xml"/><Relationship Id="rId130" Type="http://schemas.openxmlformats.org/officeDocument/2006/relationships/ctrlProp" Target="../ctrlProps/ctrlProp105.xml"/><Relationship Id="rId135" Type="http://schemas.openxmlformats.org/officeDocument/2006/relationships/ctrlProp" Target="../ctrlProps/ctrlProp110.xml"/><Relationship Id="rId151" Type="http://schemas.openxmlformats.org/officeDocument/2006/relationships/ctrlProp" Target="../ctrlProps/ctrlProp126.xml"/><Relationship Id="rId156" Type="http://schemas.openxmlformats.org/officeDocument/2006/relationships/ctrlProp" Target="../ctrlProps/ctrlProp131.xml"/><Relationship Id="rId172" Type="http://schemas.openxmlformats.org/officeDocument/2006/relationships/ctrlProp" Target="../ctrlProps/ctrlProp147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ctrlProp" Target="../ctrlProps/ctrlProp14.xml"/><Relationship Id="rId109" Type="http://schemas.openxmlformats.org/officeDocument/2006/relationships/ctrlProp" Target="../ctrlProps/ctrlProp84.xml"/><Relationship Id="rId34" Type="http://schemas.openxmlformats.org/officeDocument/2006/relationships/ctrlProp" Target="../ctrlProps/ctrlProp9.xml"/><Relationship Id="rId50" Type="http://schemas.openxmlformats.org/officeDocument/2006/relationships/ctrlProp" Target="../ctrlProps/ctrlProp25.xml"/><Relationship Id="rId55" Type="http://schemas.openxmlformats.org/officeDocument/2006/relationships/ctrlProp" Target="../ctrlProps/ctrlProp30.xml"/><Relationship Id="rId76" Type="http://schemas.openxmlformats.org/officeDocument/2006/relationships/ctrlProp" Target="../ctrlProps/ctrlProp51.xml"/><Relationship Id="rId97" Type="http://schemas.openxmlformats.org/officeDocument/2006/relationships/ctrlProp" Target="../ctrlProps/ctrlProp72.xml"/><Relationship Id="rId104" Type="http://schemas.openxmlformats.org/officeDocument/2006/relationships/ctrlProp" Target="../ctrlProps/ctrlProp79.xml"/><Relationship Id="rId120" Type="http://schemas.openxmlformats.org/officeDocument/2006/relationships/ctrlProp" Target="../ctrlProps/ctrlProp95.xml"/><Relationship Id="rId125" Type="http://schemas.openxmlformats.org/officeDocument/2006/relationships/ctrlProp" Target="../ctrlProps/ctrlProp100.xml"/><Relationship Id="rId141" Type="http://schemas.openxmlformats.org/officeDocument/2006/relationships/ctrlProp" Target="../ctrlProps/ctrlProp116.xml"/><Relationship Id="rId146" Type="http://schemas.openxmlformats.org/officeDocument/2006/relationships/ctrlProp" Target="../ctrlProps/ctrlProp121.xml"/><Relationship Id="rId167" Type="http://schemas.openxmlformats.org/officeDocument/2006/relationships/ctrlProp" Target="../ctrlProps/ctrlProp142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46.xml"/><Relationship Id="rId92" Type="http://schemas.openxmlformats.org/officeDocument/2006/relationships/ctrlProp" Target="../ctrlProps/ctrlProp67.xml"/><Relationship Id="rId162" Type="http://schemas.openxmlformats.org/officeDocument/2006/relationships/ctrlProp" Target="../ctrlProps/ctrlProp137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4.xml"/><Relationship Id="rId24" Type="http://schemas.openxmlformats.org/officeDocument/2006/relationships/control" Target="../activeX/activeX11.xml"/><Relationship Id="rId40" Type="http://schemas.openxmlformats.org/officeDocument/2006/relationships/ctrlProp" Target="../ctrlProps/ctrlProp15.xml"/><Relationship Id="rId45" Type="http://schemas.openxmlformats.org/officeDocument/2006/relationships/ctrlProp" Target="../ctrlProps/ctrlProp20.xml"/><Relationship Id="rId66" Type="http://schemas.openxmlformats.org/officeDocument/2006/relationships/ctrlProp" Target="../ctrlProps/ctrlProp41.xml"/><Relationship Id="rId87" Type="http://schemas.openxmlformats.org/officeDocument/2006/relationships/ctrlProp" Target="../ctrlProps/ctrlProp62.xml"/><Relationship Id="rId110" Type="http://schemas.openxmlformats.org/officeDocument/2006/relationships/ctrlProp" Target="../ctrlProps/ctrlProp85.xml"/><Relationship Id="rId115" Type="http://schemas.openxmlformats.org/officeDocument/2006/relationships/ctrlProp" Target="../ctrlProps/ctrlProp90.xml"/><Relationship Id="rId131" Type="http://schemas.openxmlformats.org/officeDocument/2006/relationships/ctrlProp" Target="../ctrlProps/ctrlProp106.xml"/><Relationship Id="rId136" Type="http://schemas.openxmlformats.org/officeDocument/2006/relationships/ctrlProp" Target="../ctrlProps/ctrlProp111.xml"/><Relationship Id="rId157" Type="http://schemas.openxmlformats.org/officeDocument/2006/relationships/ctrlProp" Target="../ctrlProps/ctrlProp132.xml"/><Relationship Id="rId61" Type="http://schemas.openxmlformats.org/officeDocument/2006/relationships/ctrlProp" Target="../ctrlProps/ctrlProp36.xml"/><Relationship Id="rId82" Type="http://schemas.openxmlformats.org/officeDocument/2006/relationships/ctrlProp" Target="../ctrlProps/ctrlProp57.xml"/><Relationship Id="rId152" Type="http://schemas.openxmlformats.org/officeDocument/2006/relationships/ctrlProp" Target="../ctrlProps/ctrlProp127.xml"/><Relationship Id="rId173" Type="http://schemas.openxmlformats.org/officeDocument/2006/relationships/ctrlProp" Target="../ctrlProps/ctrlProp148.xml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30" Type="http://schemas.openxmlformats.org/officeDocument/2006/relationships/ctrlProp" Target="../ctrlProps/ctrlProp5.xml"/><Relationship Id="rId35" Type="http://schemas.openxmlformats.org/officeDocument/2006/relationships/ctrlProp" Target="../ctrlProps/ctrlProp10.xml"/><Relationship Id="rId56" Type="http://schemas.openxmlformats.org/officeDocument/2006/relationships/ctrlProp" Target="../ctrlProps/ctrlProp31.xml"/><Relationship Id="rId77" Type="http://schemas.openxmlformats.org/officeDocument/2006/relationships/ctrlProp" Target="../ctrlProps/ctrlProp52.xml"/><Relationship Id="rId100" Type="http://schemas.openxmlformats.org/officeDocument/2006/relationships/ctrlProp" Target="../ctrlProps/ctrlProp75.xml"/><Relationship Id="rId105" Type="http://schemas.openxmlformats.org/officeDocument/2006/relationships/ctrlProp" Target="../ctrlProps/ctrlProp80.xml"/><Relationship Id="rId126" Type="http://schemas.openxmlformats.org/officeDocument/2006/relationships/ctrlProp" Target="../ctrlProps/ctrlProp101.xml"/><Relationship Id="rId147" Type="http://schemas.openxmlformats.org/officeDocument/2006/relationships/ctrlProp" Target="../ctrlProps/ctrlProp122.xml"/><Relationship Id="rId168" Type="http://schemas.openxmlformats.org/officeDocument/2006/relationships/ctrlProp" Target="../ctrlProps/ctrlProp143.xml"/><Relationship Id="rId8" Type="http://schemas.openxmlformats.org/officeDocument/2006/relationships/control" Target="../activeX/activeX3.xml"/><Relationship Id="rId51" Type="http://schemas.openxmlformats.org/officeDocument/2006/relationships/ctrlProp" Target="../ctrlProps/ctrlProp26.xml"/><Relationship Id="rId72" Type="http://schemas.openxmlformats.org/officeDocument/2006/relationships/ctrlProp" Target="../ctrlProps/ctrlProp47.xml"/><Relationship Id="rId93" Type="http://schemas.openxmlformats.org/officeDocument/2006/relationships/ctrlProp" Target="../ctrlProps/ctrlProp68.xml"/><Relationship Id="rId98" Type="http://schemas.openxmlformats.org/officeDocument/2006/relationships/ctrlProp" Target="../ctrlProps/ctrlProp73.xml"/><Relationship Id="rId121" Type="http://schemas.openxmlformats.org/officeDocument/2006/relationships/ctrlProp" Target="../ctrlProps/ctrlProp96.xml"/><Relationship Id="rId142" Type="http://schemas.openxmlformats.org/officeDocument/2006/relationships/ctrlProp" Target="../ctrlProps/ctrlProp117.xml"/><Relationship Id="rId163" Type="http://schemas.openxmlformats.org/officeDocument/2006/relationships/ctrlProp" Target="../ctrlProps/ctrlProp138.xml"/><Relationship Id="rId3" Type="http://schemas.openxmlformats.org/officeDocument/2006/relationships/vmlDrawing" Target="../drawings/vmlDrawing1.vml"/><Relationship Id="rId25" Type="http://schemas.openxmlformats.org/officeDocument/2006/relationships/image" Target="../media/image11.emf"/><Relationship Id="rId46" Type="http://schemas.openxmlformats.org/officeDocument/2006/relationships/ctrlProp" Target="../ctrlProps/ctrlProp21.xml"/><Relationship Id="rId67" Type="http://schemas.openxmlformats.org/officeDocument/2006/relationships/ctrlProp" Target="../ctrlProps/ctrlProp42.xml"/><Relationship Id="rId116" Type="http://schemas.openxmlformats.org/officeDocument/2006/relationships/ctrlProp" Target="../ctrlProps/ctrlProp91.xml"/><Relationship Id="rId137" Type="http://schemas.openxmlformats.org/officeDocument/2006/relationships/ctrlProp" Target="../ctrlProps/ctrlProp112.xml"/><Relationship Id="rId158" Type="http://schemas.openxmlformats.org/officeDocument/2006/relationships/ctrlProp" Target="../ctrlProps/ctrlProp133.xml"/><Relationship Id="rId20" Type="http://schemas.openxmlformats.org/officeDocument/2006/relationships/control" Target="../activeX/activeX9.xml"/><Relationship Id="rId41" Type="http://schemas.openxmlformats.org/officeDocument/2006/relationships/ctrlProp" Target="../ctrlProps/ctrlProp16.xml"/><Relationship Id="rId62" Type="http://schemas.openxmlformats.org/officeDocument/2006/relationships/ctrlProp" Target="../ctrlProps/ctrlProp37.xml"/><Relationship Id="rId83" Type="http://schemas.openxmlformats.org/officeDocument/2006/relationships/ctrlProp" Target="../ctrlProps/ctrlProp58.xml"/><Relationship Id="rId88" Type="http://schemas.openxmlformats.org/officeDocument/2006/relationships/ctrlProp" Target="../ctrlProps/ctrlProp63.xml"/><Relationship Id="rId111" Type="http://schemas.openxmlformats.org/officeDocument/2006/relationships/ctrlProp" Target="../ctrlProps/ctrlProp86.xml"/><Relationship Id="rId132" Type="http://schemas.openxmlformats.org/officeDocument/2006/relationships/ctrlProp" Target="../ctrlProps/ctrlProp107.xml"/><Relationship Id="rId153" Type="http://schemas.openxmlformats.org/officeDocument/2006/relationships/ctrlProp" Target="../ctrlProps/ctrlProp128.xml"/><Relationship Id="rId174" Type="http://schemas.openxmlformats.org/officeDocument/2006/relationships/ctrlProp" Target="../ctrlProps/ctrlProp149.xml"/><Relationship Id="rId15" Type="http://schemas.openxmlformats.org/officeDocument/2006/relationships/image" Target="../media/image6.emf"/><Relationship Id="rId36" Type="http://schemas.openxmlformats.org/officeDocument/2006/relationships/ctrlProp" Target="../ctrlProps/ctrlProp11.xml"/><Relationship Id="rId57" Type="http://schemas.openxmlformats.org/officeDocument/2006/relationships/ctrlProp" Target="../ctrlProps/ctrlProp32.xml"/><Relationship Id="rId106" Type="http://schemas.openxmlformats.org/officeDocument/2006/relationships/ctrlProp" Target="../ctrlProps/ctrlProp81.xml"/><Relationship Id="rId127" Type="http://schemas.openxmlformats.org/officeDocument/2006/relationships/ctrlProp" Target="../ctrlProps/ctrlProp102.xml"/><Relationship Id="rId10" Type="http://schemas.openxmlformats.org/officeDocument/2006/relationships/control" Target="../activeX/activeX4.xml"/><Relationship Id="rId31" Type="http://schemas.openxmlformats.org/officeDocument/2006/relationships/ctrlProp" Target="../ctrlProps/ctrlProp6.xml"/><Relationship Id="rId52" Type="http://schemas.openxmlformats.org/officeDocument/2006/relationships/ctrlProp" Target="../ctrlProps/ctrlProp27.xml"/><Relationship Id="rId73" Type="http://schemas.openxmlformats.org/officeDocument/2006/relationships/ctrlProp" Target="../ctrlProps/ctrlProp48.xml"/><Relationship Id="rId78" Type="http://schemas.openxmlformats.org/officeDocument/2006/relationships/ctrlProp" Target="../ctrlProps/ctrlProp53.xml"/><Relationship Id="rId94" Type="http://schemas.openxmlformats.org/officeDocument/2006/relationships/ctrlProp" Target="../ctrlProps/ctrlProp69.xml"/><Relationship Id="rId99" Type="http://schemas.openxmlformats.org/officeDocument/2006/relationships/ctrlProp" Target="../ctrlProps/ctrlProp74.xml"/><Relationship Id="rId101" Type="http://schemas.openxmlformats.org/officeDocument/2006/relationships/ctrlProp" Target="../ctrlProps/ctrlProp76.xml"/><Relationship Id="rId122" Type="http://schemas.openxmlformats.org/officeDocument/2006/relationships/ctrlProp" Target="../ctrlProps/ctrlProp97.xml"/><Relationship Id="rId143" Type="http://schemas.openxmlformats.org/officeDocument/2006/relationships/ctrlProp" Target="../ctrlProps/ctrlProp118.xml"/><Relationship Id="rId148" Type="http://schemas.openxmlformats.org/officeDocument/2006/relationships/ctrlProp" Target="../ctrlProps/ctrlProp123.xml"/><Relationship Id="rId164" Type="http://schemas.openxmlformats.org/officeDocument/2006/relationships/ctrlProp" Target="../ctrlProps/ctrlProp139.xml"/><Relationship Id="rId169" Type="http://schemas.openxmlformats.org/officeDocument/2006/relationships/ctrlProp" Target="../ctrlProps/ctrlProp14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26" Type="http://schemas.openxmlformats.org/officeDocument/2006/relationships/ctrlProp" Target="../ctrlProps/ctrlProp1.xml"/><Relationship Id="rId47" Type="http://schemas.openxmlformats.org/officeDocument/2006/relationships/ctrlProp" Target="../ctrlProps/ctrlProp22.xml"/><Relationship Id="rId68" Type="http://schemas.openxmlformats.org/officeDocument/2006/relationships/ctrlProp" Target="../ctrlProps/ctrlProp43.xml"/><Relationship Id="rId89" Type="http://schemas.openxmlformats.org/officeDocument/2006/relationships/ctrlProp" Target="../ctrlProps/ctrlProp64.xml"/><Relationship Id="rId112" Type="http://schemas.openxmlformats.org/officeDocument/2006/relationships/ctrlProp" Target="../ctrlProps/ctrlProp87.xml"/><Relationship Id="rId133" Type="http://schemas.openxmlformats.org/officeDocument/2006/relationships/ctrlProp" Target="../ctrlProps/ctrlProp108.xml"/><Relationship Id="rId154" Type="http://schemas.openxmlformats.org/officeDocument/2006/relationships/ctrlProp" Target="../ctrlProps/ctrlProp129.xml"/><Relationship Id="rId175" Type="http://schemas.openxmlformats.org/officeDocument/2006/relationships/ctrlProp" Target="../ctrlProps/ctrlProp150.xml"/><Relationship Id="rId16" Type="http://schemas.openxmlformats.org/officeDocument/2006/relationships/control" Target="../activeX/activeX7.xml"/><Relationship Id="rId37" Type="http://schemas.openxmlformats.org/officeDocument/2006/relationships/ctrlProp" Target="../ctrlProps/ctrlProp12.xml"/><Relationship Id="rId58" Type="http://schemas.openxmlformats.org/officeDocument/2006/relationships/ctrlProp" Target="../ctrlProps/ctrlProp33.xml"/><Relationship Id="rId79" Type="http://schemas.openxmlformats.org/officeDocument/2006/relationships/ctrlProp" Target="../ctrlProps/ctrlProp54.xml"/><Relationship Id="rId102" Type="http://schemas.openxmlformats.org/officeDocument/2006/relationships/ctrlProp" Target="../ctrlProps/ctrlProp77.xml"/><Relationship Id="rId123" Type="http://schemas.openxmlformats.org/officeDocument/2006/relationships/ctrlProp" Target="../ctrlProps/ctrlProp98.xml"/><Relationship Id="rId144" Type="http://schemas.openxmlformats.org/officeDocument/2006/relationships/ctrlProp" Target="../ctrlProps/ctrlProp119.xml"/><Relationship Id="rId90" Type="http://schemas.openxmlformats.org/officeDocument/2006/relationships/ctrlProp" Target="../ctrlProps/ctrlProp65.xml"/><Relationship Id="rId165" Type="http://schemas.openxmlformats.org/officeDocument/2006/relationships/ctrlProp" Target="../ctrlProps/ctrlProp140.xml"/><Relationship Id="rId27" Type="http://schemas.openxmlformats.org/officeDocument/2006/relationships/ctrlProp" Target="../ctrlProps/ctrlProp2.xml"/><Relationship Id="rId48" Type="http://schemas.openxmlformats.org/officeDocument/2006/relationships/ctrlProp" Target="../ctrlProps/ctrlProp23.xml"/><Relationship Id="rId69" Type="http://schemas.openxmlformats.org/officeDocument/2006/relationships/ctrlProp" Target="../ctrlProps/ctrlProp44.xml"/><Relationship Id="rId113" Type="http://schemas.openxmlformats.org/officeDocument/2006/relationships/ctrlProp" Target="../ctrlProps/ctrlProp88.xml"/><Relationship Id="rId134" Type="http://schemas.openxmlformats.org/officeDocument/2006/relationships/ctrlProp" Target="../ctrlProps/ctrlProp109.xml"/><Relationship Id="rId80" Type="http://schemas.openxmlformats.org/officeDocument/2006/relationships/ctrlProp" Target="../ctrlProps/ctrlProp55.xml"/><Relationship Id="rId155" Type="http://schemas.openxmlformats.org/officeDocument/2006/relationships/ctrlProp" Target="../ctrlProps/ctrlProp130.xml"/><Relationship Id="rId17" Type="http://schemas.openxmlformats.org/officeDocument/2006/relationships/image" Target="../media/image7.emf"/><Relationship Id="rId38" Type="http://schemas.openxmlformats.org/officeDocument/2006/relationships/ctrlProp" Target="../ctrlProps/ctrlProp13.xml"/><Relationship Id="rId59" Type="http://schemas.openxmlformats.org/officeDocument/2006/relationships/ctrlProp" Target="../ctrlProps/ctrlProp34.xml"/><Relationship Id="rId103" Type="http://schemas.openxmlformats.org/officeDocument/2006/relationships/ctrlProp" Target="../ctrlProps/ctrlProp78.xml"/><Relationship Id="rId124" Type="http://schemas.openxmlformats.org/officeDocument/2006/relationships/ctrlProp" Target="../ctrlProps/ctrlProp99.xml"/><Relationship Id="rId70" Type="http://schemas.openxmlformats.org/officeDocument/2006/relationships/ctrlProp" Target="../ctrlProps/ctrlProp45.xml"/><Relationship Id="rId91" Type="http://schemas.openxmlformats.org/officeDocument/2006/relationships/ctrlProp" Target="../ctrlProps/ctrlProp66.xml"/><Relationship Id="rId145" Type="http://schemas.openxmlformats.org/officeDocument/2006/relationships/ctrlProp" Target="../ctrlProps/ctrlProp120.xml"/><Relationship Id="rId166" Type="http://schemas.openxmlformats.org/officeDocument/2006/relationships/ctrlProp" Target="../ctrlProps/ctrlProp14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451153-7182-4CC6-A17F-1C6A9404E815}">
  <sheetPr codeName="Sheet6"/>
  <dimension ref="B1:AA186"/>
  <sheetViews>
    <sheetView showGridLines="0" tabSelected="1" zoomScale="145" zoomScaleNormal="145" workbookViewId="0">
      <selection activeCell="H7" sqref="H7"/>
    </sheetView>
  </sheetViews>
  <sheetFormatPr defaultColWidth="9.1328125" defaultRowHeight="14.25" x14ac:dyDescent="0.45"/>
  <cols>
    <col min="2" max="6" width="9.1328125" customWidth="1"/>
    <col min="12" max="12" width="9.1328125" style="4"/>
    <col min="13" max="15" width="28.73046875" style="9" hidden="1" customWidth="1"/>
    <col min="16" max="16" width="23.86328125" style="9" hidden="1" customWidth="1"/>
    <col min="17" max="20" width="9.1328125" style="4"/>
  </cols>
  <sheetData>
    <row r="1" spans="2:27" x14ac:dyDescent="0.45">
      <c r="T1" s="4">
        <v>0</v>
      </c>
      <c r="AA1">
        <v>1</v>
      </c>
    </row>
    <row r="2" spans="2:27" x14ac:dyDescent="0.45">
      <c r="B2" s="6"/>
      <c r="C2" s="6"/>
      <c r="D2" s="6"/>
      <c r="E2" s="6"/>
      <c r="F2" s="6"/>
      <c r="G2" s="6"/>
    </row>
    <row r="3" spans="2:27" x14ac:dyDescent="0.45">
      <c r="B3" s="6"/>
      <c r="C3" s="6"/>
      <c r="D3" s="6"/>
      <c r="E3" s="6"/>
      <c r="F3" s="6"/>
      <c r="G3" s="6"/>
      <c r="T3" s="4">
        <v>0</v>
      </c>
    </row>
    <row r="4" spans="2:27" x14ac:dyDescent="0.45">
      <c r="B4" s="6"/>
      <c r="C4" s="7"/>
      <c r="D4" s="7"/>
      <c r="E4" s="7"/>
      <c r="F4" s="6"/>
      <c r="G4" s="6"/>
      <c r="T4" s="4">
        <v>0</v>
      </c>
    </row>
    <row r="5" spans="2:27" x14ac:dyDescent="0.45">
      <c r="B5" s="6"/>
      <c r="C5" s="7"/>
      <c r="D5" s="7"/>
      <c r="E5" s="7"/>
      <c r="F5" s="6"/>
      <c r="G5" s="6"/>
      <c r="M5" s="9" t="s">
        <v>26</v>
      </c>
      <c r="N5" s="9">
        <v>0</v>
      </c>
      <c r="O5" s="9">
        <v>0</v>
      </c>
      <c r="P5" s="9">
        <f>IFERROR(IF(O5=0,0,INDEX(Options!A3:A4,'VBA Test'!O5)),"")</f>
        <v>0</v>
      </c>
      <c r="T5" s="4" t="b">
        <v>0</v>
      </c>
    </row>
    <row r="6" spans="2:27" x14ac:dyDescent="0.45">
      <c r="B6" s="6"/>
      <c r="C6" s="7"/>
      <c r="D6" s="7"/>
      <c r="E6" s="7"/>
      <c r="F6" s="6"/>
      <c r="G6" s="6"/>
      <c r="T6" s="4" t="b">
        <v>0</v>
      </c>
    </row>
    <row r="7" spans="2:27" x14ac:dyDescent="0.45">
      <c r="B7" s="6"/>
      <c r="C7" s="6"/>
      <c r="D7" s="6"/>
      <c r="E7" s="6"/>
      <c r="F7" s="6"/>
      <c r="G7" s="6"/>
      <c r="T7" s="4" t="b">
        <v>0</v>
      </c>
    </row>
    <row r="8" spans="2:27" x14ac:dyDescent="0.45">
      <c r="B8" s="6"/>
      <c r="C8" s="7"/>
      <c r="D8" s="7"/>
      <c r="E8" s="7"/>
      <c r="F8" s="7"/>
      <c r="G8" s="6"/>
      <c r="T8" s="4" t="b">
        <v>0</v>
      </c>
    </row>
    <row r="9" spans="2:27" x14ac:dyDescent="0.45">
      <c r="B9" s="6"/>
      <c r="C9" s="7"/>
      <c r="D9" s="7"/>
      <c r="E9" s="7"/>
      <c r="F9" s="7"/>
      <c r="G9" s="6"/>
      <c r="M9" s="9" t="s">
        <v>137</v>
      </c>
      <c r="N9" s="9">
        <v>0</v>
      </c>
      <c r="O9" s="9">
        <v>0</v>
      </c>
      <c r="P9" s="9">
        <f>O9</f>
        <v>0</v>
      </c>
      <c r="T9" s="4" t="b">
        <v>0</v>
      </c>
    </row>
    <row r="10" spans="2:27" x14ac:dyDescent="0.45">
      <c r="B10" s="6"/>
      <c r="C10" s="7"/>
      <c r="D10" s="7"/>
      <c r="E10" s="7"/>
      <c r="F10" s="7"/>
      <c r="G10" s="6"/>
      <c r="T10" s="4" t="b">
        <v>0</v>
      </c>
    </row>
    <row r="11" spans="2:27" x14ac:dyDescent="0.45">
      <c r="B11" s="6"/>
      <c r="C11" s="6"/>
      <c r="D11" s="6"/>
      <c r="E11" s="6"/>
      <c r="F11" s="6"/>
      <c r="G11" s="6"/>
      <c r="T11" s="4" t="b">
        <v>0</v>
      </c>
    </row>
    <row r="12" spans="2:27" x14ac:dyDescent="0.45">
      <c r="B12" s="6"/>
      <c r="C12" s="7"/>
      <c r="D12" s="7"/>
      <c r="E12" s="7"/>
      <c r="F12" s="7"/>
      <c r="G12" s="6"/>
      <c r="T12" s="4" t="b">
        <v>0</v>
      </c>
    </row>
    <row r="13" spans="2:27" x14ac:dyDescent="0.45">
      <c r="B13" s="6"/>
      <c r="C13" s="7"/>
      <c r="D13" s="7"/>
      <c r="E13" s="7"/>
      <c r="F13" s="7"/>
      <c r="G13" s="6"/>
      <c r="M13" s="9" t="s">
        <v>27</v>
      </c>
      <c r="N13" s="9">
        <v>1</v>
      </c>
      <c r="O13" s="9">
        <v>1</v>
      </c>
      <c r="P13" s="9">
        <f>IFERROR(INDEX(Options!A121:A129,'VBA Test'!O13),"error result")</f>
        <v>0</v>
      </c>
      <c r="T13" s="4" t="b">
        <v>0</v>
      </c>
    </row>
    <row r="14" spans="2:27" x14ac:dyDescent="0.45">
      <c r="B14" s="6"/>
      <c r="C14" s="7"/>
      <c r="D14" s="7"/>
      <c r="E14" s="7"/>
      <c r="F14" s="7"/>
      <c r="G14" s="6"/>
      <c r="T14" s="4" t="b">
        <v>0</v>
      </c>
    </row>
    <row r="15" spans="2:27" x14ac:dyDescent="0.45">
      <c r="B15" s="6"/>
      <c r="C15" s="6"/>
      <c r="D15" s="6"/>
      <c r="E15" s="6"/>
      <c r="F15" s="6"/>
      <c r="G15" s="6"/>
      <c r="T15" s="4" t="b">
        <v>0</v>
      </c>
    </row>
    <row r="16" spans="2:27" x14ac:dyDescent="0.45">
      <c r="B16" s="6"/>
      <c r="C16" s="7"/>
      <c r="D16" s="7"/>
      <c r="E16" s="7"/>
      <c r="F16" s="7"/>
      <c r="G16" s="6" t="s">
        <v>150</v>
      </c>
      <c r="T16" s="4" t="b">
        <v>0</v>
      </c>
    </row>
    <row r="17" spans="2:20" x14ac:dyDescent="0.45">
      <c r="B17" s="6"/>
      <c r="C17" s="7"/>
      <c r="D17" s="7"/>
      <c r="E17" s="7"/>
      <c r="F17" s="7"/>
      <c r="G17" s="6"/>
      <c r="M17" s="9" t="s">
        <v>10</v>
      </c>
      <c r="N17" s="9">
        <v>1</v>
      </c>
      <c r="O17" s="9">
        <v>1</v>
      </c>
      <c r="P17" s="9">
        <f>IFERROR(INDEX(Options!A132:A148,'VBA Test'!O17),"error result")</f>
        <v>0</v>
      </c>
      <c r="T17" s="4" t="b">
        <v>0</v>
      </c>
    </row>
    <row r="18" spans="2:20" x14ac:dyDescent="0.45">
      <c r="B18" s="6"/>
      <c r="C18" s="7"/>
      <c r="D18" s="7"/>
      <c r="E18" s="7"/>
      <c r="F18" s="7"/>
      <c r="G18" s="6"/>
      <c r="T18" s="4" t="b">
        <v>0</v>
      </c>
    </row>
    <row r="19" spans="2:20" x14ac:dyDescent="0.45">
      <c r="B19" s="6"/>
      <c r="C19" s="6"/>
      <c r="D19" s="6"/>
      <c r="E19" s="6"/>
      <c r="F19" s="6"/>
      <c r="G19" s="6"/>
      <c r="T19" s="4" t="b">
        <v>0</v>
      </c>
    </row>
    <row r="20" spans="2:20" x14ac:dyDescent="0.45">
      <c r="T20" s="4" t="b">
        <v>0</v>
      </c>
    </row>
    <row r="21" spans="2:20" x14ac:dyDescent="0.45">
      <c r="T21" s="4" t="b">
        <v>0</v>
      </c>
    </row>
    <row r="22" spans="2:20" x14ac:dyDescent="0.45">
      <c r="B22" s="6"/>
      <c r="C22" s="6"/>
      <c r="D22" s="6"/>
      <c r="E22" s="6"/>
      <c r="F22" s="6"/>
      <c r="G22" s="6"/>
      <c r="H22" s="6"/>
      <c r="I22" s="6"/>
      <c r="J22" s="6"/>
      <c r="M22" s="9" t="s">
        <v>159</v>
      </c>
      <c r="N22" s="9" t="b">
        <v>0</v>
      </c>
      <c r="O22" s="9" t="b">
        <v>0</v>
      </c>
      <c r="P22" s="9" t="b">
        <f>O22</f>
        <v>0</v>
      </c>
      <c r="T22" s="4" t="b">
        <v>0</v>
      </c>
    </row>
    <row r="23" spans="2:20" x14ac:dyDescent="0.45">
      <c r="B23" s="6"/>
      <c r="C23" s="7"/>
      <c r="D23" s="7"/>
      <c r="E23" s="7"/>
      <c r="F23" s="7"/>
      <c r="G23" s="7"/>
      <c r="H23" s="7"/>
      <c r="I23" s="7"/>
      <c r="J23" s="6"/>
      <c r="M23" s="9" t="s">
        <v>160</v>
      </c>
      <c r="N23" s="9" t="b">
        <v>0</v>
      </c>
      <c r="O23" s="9" t="b">
        <v>0</v>
      </c>
      <c r="P23" s="9" t="b">
        <f t="shared" ref="P23:P48" si="0">O23</f>
        <v>0</v>
      </c>
      <c r="T23" s="4" t="b">
        <v>0</v>
      </c>
    </row>
    <row r="24" spans="2:20" x14ac:dyDescent="0.45">
      <c r="B24" s="6"/>
      <c r="C24" s="7"/>
      <c r="D24" s="7"/>
      <c r="E24" s="7"/>
      <c r="F24" s="7"/>
      <c r="G24" s="7"/>
      <c r="H24" s="7"/>
      <c r="I24" s="7"/>
      <c r="J24" s="6"/>
      <c r="M24" s="9" t="s">
        <v>161</v>
      </c>
      <c r="N24" s="9" t="b">
        <v>0</v>
      </c>
      <c r="O24" s="9" t="b">
        <v>0</v>
      </c>
      <c r="P24" s="9" t="b">
        <f t="shared" si="0"/>
        <v>0</v>
      </c>
      <c r="T24" s="4" t="b">
        <v>0</v>
      </c>
    </row>
    <row r="25" spans="2:20" x14ac:dyDescent="0.45">
      <c r="B25" s="6"/>
      <c r="C25" s="7"/>
      <c r="D25" s="7"/>
      <c r="E25" s="7"/>
      <c r="F25" s="7"/>
      <c r="G25" s="7"/>
      <c r="H25" s="7"/>
      <c r="I25" s="7"/>
      <c r="J25" s="6"/>
      <c r="M25" s="9" t="s">
        <v>162</v>
      </c>
      <c r="N25" s="9" t="b">
        <v>0</v>
      </c>
      <c r="O25" s="9" t="b">
        <v>0</v>
      </c>
      <c r="P25" s="9" t="b">
        <f>O25</f>
        <v>0</v>
      </c>
      <c r="T25" s="4" t="b">
        <v>0</v>
      </c>
    </row>
    <row r="26" spans="2:20" x14ac:dyDescent="0.45">
      <c r="B26" s="6"/>
      <c r="C26" s="7"/>
      <c r="D26" s="7"/>
      <c r="E26" s="7"/>
      <c r="F26" s="7"/>
      <c r="G26" s="7"/>
      <c r="H26" s="7"/>
      <c r="I26" s="7"/>
      <c r="J26" s="6"/>
      <c r="M26" s="9" t="s">
        <v>163</v>
      </c>
      <c r="N26" s="9" t="b">
        <v>0</v>
      </c>
      <c r="O26" s="9" t="b">
        <v>0</v>
      </c>
      <c r="P26" s="9" t="b">
        <f t="shared" si="0"/>
        <v>0</v>
      </c>
      <c r="T26" s="4" t="b">
        <v>0</v>
      </c>
    </row>
    <row r="27" spans="2:20" x14ac:dyDescent="0.45">
      <c r="B27" s="6"/>
      <c r="C27" s="7"/>
      <c r="D27" s="7"/>
      <c r="E27" s="7"/>
      <c r="F27" s="7"/>
      <c r="G27" s="7"/>
      <c r="H27" s="7"/>
      <c r="I27" s="7"/>
      <c r="J27" s="6"/>
      <c r="M27" s="9" t="s">
        <v>164</v>
      </c>
      <c r="N27" s="9" t="b">
        <v>0</v>
      </c>
      <c r="O27" s="9" t="b">
        <v>0</v>
      </c>
      <c r="P27" s="9" t="b">
        <f t="shared" si="0"/>
        <v>0</v>
      </c>
      <c r="T27" s="4" t="b">
        <v>0</v>
      </c>
    </row>
    <row r="28" spans="2:20" x14ac:dyDescent="0.45">
      <c r="B28" s="6"/>
      <c r="C28" s="7"/>
      <c r="D28" s="7"/>
      <c r="E28" s="7"/>
      <c r="F28" s="7"/>
      <c r="G28" s="7"/>
      <c r="H28" s="7"/>
      <c r="I28" s="7"/>
      <c r="J28" s="6"/>
      <c r="M28" s="9" t="s">
        <v>165</v>
      </c>
      <c r="N28" s="9" t="b">
        <v>0</v>
      </c>
      <c r="O28" s="9" t="b">
        <v>0</v>
      </c>
      <c r="P28" s="9" t="b">
        <f t="shared" si="0"/>
        <v>0</v>
      </c>
      <c r="T28" s="4" t="b">
        <v>0</v>
      </c>
    </row>
    <row r="29" spans="2:20" x14ac:dyDescent="0.45">
      <c r="B29" s="6"/>
      <c r="C29" s="7"/>
      <c r="D29" s="7"/>
      <c r="E29" s="7"/>
      <c r="F29" s="7"/>
      <c r="G29" s="7"/>
      <c r="H29" s="7"/>
      <c r="I29" s="7"/>
      <c r="J29" s="6"/>
      <c r="M29" s="9" t="s">
        <v>166</v>
      </c>
      <c r="N29" s="9" t="b">
        <v>0</v>
      </c>
      <c r="O29" s="9" t="b">
        <v>0</v>
      </c>
      <c r="P29" s="9" t="b">
        <f t="shared" si="0"/>
        <v>0</v>
      </c>
      <c r="T29" s="4" t="b">
        <v>0</v>
      </c>
    </row>
    <row r="30" spans="2:20" x14ac:dyDescent="0.45">
      <c r="B30" s="6"/>
      <c r="C30" s="7"/>
      <c r="D30" s="7"/>
      <c r="E30" s="7"/>
      <c r="F30" s="7"/>
      <c r="G30" s="7"/>
      <c r="H30" s="7"/>
      <c r="I30" s="7"/>
      <c r="J30" s="6"/>
      <c r="M30" s="9" t="s">
        <v>167</v>
      </c>
      <c r="N30" s="9" t="b">
        <v>0</v>
      </c>
      <c r="O30" s="9" t="b">
        <v>0</v>
      </c>
      <c r="P30" s="9" t="b">
        <f t="shared" si="0"/>
        <v>0</v>
      </c>
      <c r="T30" s="4" t="b">
        <v>0</v>
      </c>
    </row>
    <row r="31" spans="2:20" x14ac:dyDescent="0.45">
      <c r="B31" s="6"/>
      <c r="C31" s="7"/>
      <c r="D31" s="7"/>
      <c r="E31" s="7"/>
      <c r="F31" s="7"/>
      <c r="G31" s="7"/>
      <c r="H31" s="7"/>
      <c r="I31" s="7"/>
      <c r="J31" s="6"/>
      <c r="M31" s="9" t="s">
        <v>168</v>
      </c>
      <c r="N31" s="9" t="b">
        <v>0</v>
      </c>
      <c r="O31" s="9" t="b">
        <v>0</v>
      </c>
      <c r="P31" s="9" t="b">
        <f t="shared" si="0"/>
        <v>0</v>
      </c>
      <c r="T31" s="4" t="b">
        <v>0</v>
      </c>
    </row>
    <row r="32" spans="2:20" x14ac:dyDescent="0.45">
      <c r="B32" s="6"/>
      <c r="C32" s="7"/>
      <c r="D32" s="7"/>
      <c r="E32" s="7"/>
      <c r="F32" s="7"/>
      <c r="G32" s="7"/>
      <c r="H32" s="7"/>
      <c r="I32" s="7"/>
      <c r="J32" s="6"/>
      <c r="M32" s="9" t="s">
        <v>169</v>
      </c>
      <c r="N32" s="9" t="b">
        <v>0</v>
      </c>
      <c r="O32" s="9" t="b">
        <v>0</v>
      </c>
      <c r="P32" s="9" t="b">
        <f t="shared" si="0"/>
        <v>0</v>
      </c>
      <c r="T32" s="4">
        <v>0</v>
      </c>
    </row>
    <row r="33" spans="2:20" x14ac:dyDescent="0.45">
      <c r="B33" s="6"/>
      <c r="C33" s="7"/>
      <c r="D33" s="7"/>
      <c r="E33" s="7"/>
      <c r="F33" s="7"/>
      <c r="G33" s="7"/>
      <c r="H33" s="7"/>
      <c r="I33" s="7"/>
      <c r="J33" s="6"/>
      <c r="M33" s="9" t="s">
        <v>170</v>
      </c>
      <c r="N33" s="9" t="b">
        <v>0</v>
      </c>
      <c r="O33" s="9" t="b">
        <v>0</v>
      </c>
      <c r="P33" s="9" t="b">
        <f t="shared" si="0"/>
        <v>0</v>
      </c>
      <c r="T33" s="4">
        <v>0</v>
      </c>
    </row>
    <row r="34" spans="2:20" x14ac:dyDescent="0.45">
      <c r="B34" s="6"/>
      <c r="C34" s="7"/>
      <c r="D34" s="7"/>
      <c r="E34" s="7"/>
      <c r="F34" s="7"/>
      <c r="G34" s="7"/>
      <c r="H34" s="7"/>
      <c r="I34" s="7"/>
      <c r="J34" s="6"/>
      <c r="M34" s="9" t="s">
        <v>171</v>
      </c>
      <c r="N34" s="9" t="b">
        <v>0</v>
      </c>
      <c r="O34" s="9" t="b">
        <v>0</v>
      </c>
      <c r="P34" s="9" t="b">
        <f t="shared" si="0"/>
        <v>0</v>
      </c>
      <c r="T34" s="4">
        <v>0</v>
      </c>
    </row>
    <row r="35" spans="2:20" x14ac:dyDescent="0.45">
      <c r="B35" s="6"/>
      <c r="C35" s="6"/>
      <c r="D35" s="6"/>
      <c r="E35" s="6"/>
      <c r="F35" s="6"/>
      <c r="G35" s="6"/>
      <c r="H35" s="6"/>
      <c r="I35" s="6"/>
      <c r="J35" s="6"/>
      <c r="M35" s="9" t="s">
        <v>172</v>
      </c>
      <c r="N35" s="9" t="b">
        <v>0</v>
      </c>
      <c r="O35" s="9" t="b">
        <v>0</v>
      </c>
      <c r="P35" s="9" t="b">
        <f t="shared" si="0"/>
        <v>0</v>
      </c>
      <c r="T35" s="4">
        <v>0</v>
      </c>
    </row>
    <row r="36" spans="2:20" x14ac:dyDescent="0.45">
      <c r="B36" s="6"/>
      <c r="C36" s="7"/>
      <c r="D36" s="7"/>
      <c r="E36" s="7"/>
      <c r="F36" s="7"/>
      <c r="G36" s="7"/>
      <c r="H36" s="7"/>
      <c r="I36" s="6"/>
      <c r="J36" s="6"/>
      <c r="M36" s="9" t="s">
        <v>173</v>
      </c>
      <c r="N36" s="9" t="b">
        <v>0</v>
      </c>
      <c r="O36" s="9" t="b">
        <v>0</v>
      </c>
      <c r="P36" s="9" t="b">
        <f t="shared" si="0"/>
        <v>0</v>
      </c>
      <c r="T36" s="4">
        <v>0</v>
      </c>
    </row>
    <row r="37" spans="2:20" x14ac:dyDescent="0.45">
      <c r="B37" s="6"/>
      <c r="C37" s="7"/>
      <c r="D37" s="7"/>
      <c r="E37" s="7"/>
      <c r="F37" s="7"/>
      <c r="G37" s="7"/>
      <c r="H37" s="7"/>
      <c r="I37" s="6"/>
      <c r="J37" s="6"/>
      <c r="M37" s="9" t="s">
        <v>174</v>
      </c>
      <c r="N37" s="9" t="b">
        <v>0</v>
      </c>
      <c r="O37" s="9" t="b">
        <v>0</v>
      </c>
      <c r="P37" s="9" t="b">
        <f t="shared" si="0"/>
        <v>0</v>
      </c>
      <c r="T37" s="4">
        <v>0</v>
      </c>
    </row>
    <row r="38" spans="2:20" x14ac:dyDescent="0.45">
      <c r="B38" s="6"/>
      <c r="C38" s="7"/>
      <c r="D38" s="7"/>
      <c r="E38" s="7"/>
      <c r="F38" s="7"/>
      <c r="G38" s="7"/>
      <c r="H38" s="7"/>
      <c r="I38" s="6"/>
      <c r="J38" s="6"/>
      <c r="M38" s="9" t="s">
        <v>175</v>
      </c>
      <c r="N38" s="9" t="b">
        <v>0</v>
      </c>
      <c r="O38" s="9" t="b">
        <v>0</v>
      </c>
      <c r="P38" s="9" t="b">
        <f t="shared" si="0"/>
        <v>0</v>
      </c>
      <c r="T38" s="4">
        <v>0</v>
      </c>
    </row>
    <row r="39" spans="2:20" x14ac:dyDescent="0.45">
      <c r="B39" s="6"/>
      <c r="C39" s="7"/>
      <c r="D39" s="7"/>
      <c r="E39" s="7"/>
      <c r="F39" s="7"/>
      <c r="G39" s="7"/>
      <c r="H39" s="7"/>
      <c r="I39" s="6"/>
      <c r="J39" s="6"/>
      <c r="M39" s="9" t="s">
        <v>176</v>
      </c>
      <c r="N39" s="9" t="b">
        <v>0</v>
      </c>
      <c r="O39" s="9" t="b">
        <v>0</v>
      </c>
      <c r="P39" s="9" t="b">
        <f t="shared" si="0"/>
        <v>0</v>
      </c>
      <c r="T39" s="4">
        <v>0</v>
      </c>
    </row>
    <row r="40" spans="2:20" x14ac:dyDescent="0.45">
      <c r="B40" s="6"/>
      <c r="C40" s="7"/>
      <c r="D40" s="7"/>
      <c r="E40" s="7"/>
      <c r="F40" s="7"/>
      <c r="G40" s="7"/>
      <c r="H40" s="7"/>
      <c r="I40" s="6"/>
      <c r="J40" s="6"/>
      <c r="M40" s="9" t="s">
        <v>177</v>
      </c>
      <c r="N40" s="9" t="b">
        <v>0</v>
      </c>
      <c r="O40" s="9" t="b">
        <v>0</v>
      </c>
      <c r="P40" s="9" t="b">
        <f t="shared" si="0"/>
        <v>0</v>
      </c>
      <c r="T40" s="4">
        <v>0</v>
      </c>
    </row>
    <row r="41" spans="2:20" x14ac:dyDescent="0.45">
      <c r="B41" s="6"/>
      <c r="C41" s="6"/>
      <c r="D41" s="6"/>
      <c r="E41" s="6"/>
      <c r="F41" s="6"/>
      <c r="G41" s="6"/>
      <c r="H41" s="6"/>
      <c r="I41" s="6"/>
      <c r="J41" s="6"/>
      <c r="M41" s="9" t="s">
        <v>178</v>
      </c>
      <c r="N41" s="9" t="b">
        <v>0</v>
      </c>
      <c r="O41" s="9" t="b">
        <v>0</v>
      </c>
      <c r="P41" s="9" t="b">
        <f t="shared" si="0"/>
        <v>0</v>
      </c>
      <c r="T41" s="4">
        <v>0</v>
      </c>
    </row>
    <row r="42" spans="2:20" x14ac:dyDescent="0.45">
      <c r="B42" s="6"/>
      <c r="C42" s="7"/>
      <c r="D42" s="7"/>
      <c r="E42" s="7"/>
      <c r="F42" s="7"/>
      <c r="G42" s="7"/>
      <c r="H42" s="7"/>
      <c r="I42" s="6"/>
      <c r="J42" s="6"/>
      <c r="M42" s="9" t="s">
        <v>179</v>
      </c>
      <c r="N42" s="9" t="b">
        <v>0</v>
      </c>
      <c r="O42" s="9" t="b">
        <v>0</v>
      </c>
      <c r="P42" s="9" t="b">
        <f t="shared" si="0"/>
        <v>0</v>
      </c>
      <c r="T42" s="4">
        <v>0</v>
      </c>
    </row>
    <row r="43" spans="2:20" x14ac:dyDescent="0.45">
      <c r="B43" s="6"/>
      <c r="C43" s="7"/>
      <c r="D43" s="7"/>
      <c r="E43" s="7"/>
      <c r="F43" s="7"/>
      <c r="G43" s="7"/>
      <c r="H43" s="7"/>
      <c r="I43" s="6"/>
      <c r="J43" s="6"/>
      <c r="M43" s="9" t="s">
        <v>180</v>
      </c>
      <c r="N43" s="9" t="b">
        <v>0</v>
      </c>
      <c r="O43" s="9" t="b">
        <v>0</v>
      </c>
      <c r="P43" s="9" t="b">
        <f t="shared" si="0"/>
        <v>0</v>
      </c>
      <c r="T43" s="4" t="b">
        <v>0</v>
      </c>
    </row>
    <row r="44" spans="2:20" x14ac:dyDescent="0.45">
      <c r="B44" s="6"/>
      <c r="C44" s="7"/>
      <c r="D44" s="7"/>
      <c r="E44" s="7"/>
      <c r="F44" s="7"/>
      <c r="G44" s="7"/>
      <c r="H44" s="7"/>
      <c r="I44" s="6"/>
      <c r="J44" s="6"/>
      <c r="M44" s="9" t="s">
        <v>181</v>
      </c>
      <c r="N44" s="9" t="b">
        <v>0</v>
      </c>
      <c r="O44" s="9" t="b">
        <v>0</v>
      </c>
      <c r="P44" s="9" t="b">
        <f t="shared" si="0"/>
        <v>0</v>
      </c>
      <c r="T44" s="4" t="b">
        <v>0</v>
      </c>
    </row>
    <row r="45" spans="2:20" x14ac:dyDescent="0.45">
      <c r="B45" s="6"/>
      <c r="C45" s="7"/>
      <c r="D45" s="7"/>
      <c r="E45" s="7"/>
      <c r="F45" s="7"/>
      <c r="G45" s="7"/>
      <c r="H45" s="7"/>
      <c r="I45" s="6"/>
      <c r="J45" s="6"/>
      <c r="M45" s="9" t="s">
        <v>182</v>
      </c>
      <c r="N45" s="9" t="b">
        <v>0</v>
      </c>
      <c r="O45" s="9" t="b">
        <v>0</v>
      </c>
      <c r="P45" s="9" t="b">
        <f t="shared" si="0"/>
        <v>0</v>
      </c>
      <c r="T45" s="4" t="b">
        <v>0</v>
      </c>
    </row>
    <row r="46" spans="2:20" x14ac:dyDescent="0.45">
      <c r="B46" s="6"/>
      <c r="C46" s="7"/>
      <c r="D46" s="7"/>
      <c r="E46" s="7"/>
      <c r="F46" s="7"/>
      <c r="G46" s="7"/>
      <c r="H46" s="7"/>
      <c r="I46" s="6"/>
      <c r="J46" s="6"/>
      <c r="M46" s="9" t="s">
        <v>183</v>
      </c>
      <c r="N46" s="9" t="b">
        <v>0</v>
      </c>
      <c r="O46" s="9" t="b">
        <v>0</v>
      </c>
      <c r="P46" s="9" t="b">
        <f t="shared" si="0"/>
        <v>0</v>
      </c>
      <c r="T46" s="4" t="b">
        <v>0</v>
      </c>
    </row>
    <row r="47" spans="2:20" x14ac:dyDescent="0.45">
      <c r="B47" s="6"/>
      <c r="C47" s="6"/>
      <c r="D47" s="6"/>
      <c r="E47" s="6"/>
      <c r="F47" s="6"/>
      <c r="G47" s="6"/>
      <c r="H47" s="6"/>
      <c r="I47" s="6"/>
      <c r="J47" s="6"/>
      <c r="M47" s="9" t="s">
        <v>184</v>
      </c>
      <c r="N47" s="9" t="b">
        <v>0</v>
      </c>
      <c r="O47" s="9" t="b">
        <v>0</v>
      </c>
      <c r="P47" s="9" t="b">
        <f t="shared" si="0"/>
        <v>0</v>
      </c>
      <c r="T47" s="4">
        <v>0</v>
      </c>
    </row>
    <row r="48" spans="2:20" x14ac:dyDescent="0.45">
      <c r="B48" s="6"/>
      <c r="C48" s="7"/>
      <c r="D48" s="7"/>
      <c r="E48" s="7"/>
      <c r="F48" s="7"/>
      <c r="G48" s="6"/>
      <c r="H48" s="6"/>
      <c r="I48" s="6"/>
      <c r="J48" s="6"/>
      <c r="M48" s="9" t="s">
        <v>185</v>
      </c>
      <c r="N48" s="9" t="b">
        <v>0</v>
      </c>
      <c r="O48" s="9" t="b">
        <v>0</v>
      </c>
      <c r="P48" s="9" t="b">
        <f t="shared" si="0"/>
        <v>0</v>
      </c>
      <c r="T48" s="4">
        <v>0</v>
      </c>
    </row>
    <row r="49" spans="2:20" x14ac:dyDescent="0.45">
      <c r="B49" s="6"/>
      <c r="C49" s="7"/>
      <c r="D49" s="7"/>
      <c r="E49" s="7"/>
      <c r="F49" s="7"/>
      <c r="G49" s="6"/>
      <c r="H49" s="6"/>
      <c r="I49" s="6"/>
      <c r="J49" s="6"/>
      <c r="M49" s="9" t="s">
        <v>213</v>
      </c>
      <c r="N49" s="9">
        <v>1</v>
      </c>
      <c r="O49" s="9">
        <v>1</v>
      </c>
      <c r="P49" s="9">
        <f>IFERROR(INDEX(Options!$A$153:$A$159,'VBA Test'!O49),"error result")</f>
        <v>0</v>
      </c>
      <c r="T49" s="4">
        <v>0</v>
      </c>
    </row>
    <row r="50" spans="2:20" x14ac:dyDescent="0.45">
      <c r="B50" s="6"/>
      <c r="C50" s="7"/>
      <c r="D50" s="7"/>
      <c r="E50" s="7"/>
      <c r="F50" s="7"/>
      <c r="G50" s="6"/>
      <c r="H50" s="6"/>
      <c r="I50" s="6"/>
      <c r="J50" s="6"/>
      <c r="M50" s="9" t="s">
        <v>214</v>
      </c>
      <c r="N50" s="9" t="s">
        <v>150</v>
      </c>
      <c r="O50" s="9" t="s">
        <v>150</v>
      </c>
      <c r="P50" s="9" t="str">
        <f>IFERROR(O50,"error result")</f>
        <v xml:space="preserve"> </v>
      </c>
      <c r="T50" s="4">
        <v>0</v>
      </c>
    </row>
    <row r="51" spans="2:20" x14ac:dyDescent="0.45">
      <c r="B51" s="6"/>
      <c r="C51" s="6"/>
      <c r="D51" s="6"/>
      <c r="E51" s="6"/>
      <c r="F51" s="6"/>
      <c r="G51" s="6"/>
      <c r="H51" s="6"/>
      <c r="I51" s="6"/>
      <c r="J51" s="6"/>
      <c r="M51" s="9" t="s">
        <v>215</v>
      </c>
      <c r="N51" s="9" t="s">
        <v>150</v>
      </c>
      <c r="O51" s="9" t="s">
        <v>150</v>
      </c>
      <c r="P51" s="9" t="str">
        <f>IFERROR(O51,"error result")</f>
        <v xml:space="preserve"> </v>
      </c>
      <c r="T51" s="4">
        <v>0</v>
      </c>
    </row>
    <row r="52" spans="2:20" x14ac:dyDescent="0.45">
      <c r="B52" s="6"/>
      <c r="C52" s="7"/>
      <c r="D52" s="7"/>
      <c r="E52" s="7"/>
      <c r="F52" s="7"/>
      <c r="G52" s="7"/>
      <c r="H52" s="6"/>
      <c r="I52" s="6"/>
      <c r="J52" s="6"/>
      <c r="T52" s="4">
        <v>0</v>
      </c>
    </row>
    <row r="53" spans="2:20" x14ac:dyDescent="0.45">
      <c r="B53" s="6"/>
      <c r="C53" s="7"/>
      <c r="D53" s="7"/>
      <c r="E53" s="7"/>
      <c r="F53" s="7"/>
      <c r="G53" s="7"/>
      <c r="H53" s="6"/>
      <c r="I53" s="6"/>
      <c r="J53" s="6"/>
      <c r="M53" s="9" t="s">
        <v>216</v>
      </c>
      <c r="N53" s="9">
        <v>1</v>
      </c>
      <c r="O53" s="9">
        <v>1</v>
      </c>
      <c r="P53" s="9">
        <f>IFERROR(INDEX(Options!$A$172:$A$176,'VBA Test'!O53),"error result")</f>
        <v>0</v>
      </c>
      <c r="Q53" s="4">
        <f>IFERROR(VLOOKUP(P53,Options!$A$173:$B$176,2,FALSE),0)</f>
        <v>0</v>
      </c>
      <c r="T53" s="4">
        <v>0</v>
      </c>
    </row>
    <row r="54" spans="2:20" x14ac:dyDescent="0.45">
      <c r="B54" s="6"/>
      <c r="C54" s="7"/>
      <c r="D54" s="7"/>
      <c r="E54" s="7"/>
      <c r="F54" s="7"/>
      <c r="G54" s="7"/>
      <c r="H54" s="6"/>
      <c r="I54" s="6"/>
      <c r="J54" s="6"/>
      <c r="T54" s="4">
        <v>0</v>
      </c>
    </row>
    <row r="55" spans="2:20" x14ac:dyDescent="0.45">
      <c r="B55" s="6"/>
      <c r="C55" s="7"/>
      <c r="D55" s="7"/>
      <c r="E55" s="7"/>
      <c r="F55" s="7"/>
      <c r="G55" s="7"/>
      <c r="H55" s="6"/>
      <c r="I55" s="6"/>
      <c r="J55" s="6"/>
      <c r="M55" s="9" t="s">
        <v>217</v>
      </c>
      <c r="N55" s="9">
        <v>1</v>
      </c>
      <c r="O55" s="9">
        <v>1</v>
      </c>
      <c r="P55" s="9">
        <f>IFERROR(INDEX(Options!$A$178:$A$183,'VBA Test'!O55),"error result")</f>
        <v>0</v>
      </c>
      <c r="Q55" s="4">
        <f>IFERROR(VLOOKUP(P55,Options!$A$179:$B$183,2,FALSE),0)</f>
        <v>0</v>
      </c>
      <c r="T55" s="4">
        <v>0</v>
      </c>
    </row>
    <row r="56" spans="2:20" x14ac:dyDescent="0.45">
      <c r="B56" s="6"/>
      <c r="C56" s="7"/>
      <c r="D56" s="7"/>
      <c r="E56" s="7"/>
      <c r="F56" s="7"/>
      <c r="G56" s="7"/>
      <c r="H56" s="6"/>
      <c r="I56" s="6"/>
      <c r="J56" s="6"/>
      <c r="T56" s="4">
        <v>0</v>
      </c>
    </row>
    <row r="57" spans="2:20" x14ac:dyDescent="0.45">
      <c r="B57" s="6"/>
      <c r="C57" s="7"/>
      <c r="D57" s="7"/>
      <c r="E57" s="7"/>
      <c r="F57" s="7"/>
      <c r="G57" s="7"/>
      <c r="H57" s="6"/>
      <c r="I57" s="6"/>
      <c r="J57" s="6"/>
      <c r="M57" s="9" t="s">
        <v>218</v>
      </c>
      <c r="N57" s="9">
        <v>1</v>
      </c>
      <c r="O57" s="9">
        <v>1</v>
      </c>
      <c r="P57" s="9">
        <f>IFERROR(INDEX(Options!$A$185:$A$191,'VBA Test'!O57),"error result")</f>
        <v>0</v>
      </c>
      <c r="Q57" s="4">
        <f>IFERROR(VLOOKUP(P57,Options!$A$186:$B$191,2,FALSE),0)</f>
        <v>0</v>
      </c>
      <c r="T57" s="4" t="b">
        <v>0</v>
      </c>
    </row>
    <row r="58" spans="2:20" x14ac:dyDescent="0.45">
      <c r="B58" s="6"/>
      <c r="C58" s="7"/>
      <c r="D58" s="7"/>
      <c r="E58" s="7"/>
      <c r="F58" s="7"/>
      <c r="G58" s="7"/>
      <c r="H58" s="6"/>
      <c r="I58" s="6"/>
      <c r="J58" s="6"/>
      <c r="T58" s="4" t="b">
        <v>0</v>
      </c>
    </row>
    <row r="59" spans="2:20" x14ac:dyDescent="0.45">
      <c r="B59" s="6"/>
      <c r="C59" s="7"/>
      <c r="D59" s="7"/>
      <c r="E59" s="7">
        <f>SUM(Q53,Q55,Q57)</f>
        <v>0</v>
      </c>
      <c r="F59" s="8" t="str">
        <f>IF(E59=0,"",IF(E59&gt;=Options!$A$193,Options!$B$193,IF(E59&gt;=Options!$A$194,Options!$B$194,Options!$B$195)))</f>
        <v/>
      </c>
      <c r="G59" s="7"/>
      <c r="H59" s="6"/>
      <c r="I59" s="6"/>
      <c r="J59" s="6"/>
      <c r="M59" s="9" t="s">
        <v>219</v>
      </c>
      <c r="P59" s="9">
        <f>O59</f>
        <v>0</v>
      </c>
      <c r="T59" s="4" t="b">
        <v>0</v>
      </c>
    </row>
    <row r="60" spans="2:20" x14ac:dyDescent="0.45">
      <c r="B60" s="6"/>
      <c r="C60" s="7"/>
      <c r="D60" s="7"/>
      <c r="E60" s="7"/>
      <c r="F60" s="8"/>
      <c r="G60" s="7"/>
      <c r="H60" s="6"/>
      <c r="I60" s="6"/>
      <c r="J60" s="6"/>
      <c r="M60" s="9" t="s">
        <v>220</v>
      </c>
      <c r="P60" s="9">
        <f>IF(O60="",0)</f>
        <v>0</v>
      </c>
    </row>
    <row r="61" spans="2:20" x14ac:dyDescent="0.45">
      <c r="B61" s="6"/>
      <c r="C61" s="7"/>
      <c r="D61" s="7"/>
      <c r="E61" s="7"/>
      <c r="F61" s="7"/>
      <c r="G61" s="7"/>
      <c r="H61" s="6"/>
      <c r="I61" s="6"/>
      <c r="J61" s="6"/>
      <c r="M61" s="9" t="s">
        <v>245</v>
      </c>
      <c r="N61" s="9">
        <v>1</v>
      </c>
      <c r="O61" s="9">
        <v>1</v>
      </c>
      <c r="P61" s="9">
        <f>IFERROR(INDEX(Options!A280:A287,'VBA Test'!O61),"error result")</f>
        <v>0</v>
      </c>
      <c r="T61" s="4" t="b">
        <v>0</v>
      </c>
    </row>
    <row r="62" spans="2:20" x14ac:dyDescent="0.45">
      <c r="B62" s="6"/>
      <c r="C62" s="6"/>
      <c r="D62" s="6"/>
      <c r="E62" s="6"/>
      <c r="F62" s="6"/>
      <c r="G62" s="6"/>
      <c r="H62" s="6"/>
      <c r="I62" s="6"/>
      <c r="J62" s="6"/>
      <c r="T62" s="4" t="b">
        <v>0</v>
      </c>
    </row>
    <row r="63" spans="2:20" x14ac:dyDescent="0.45">
      <c r="B63" s="6"/>
      <c r="C63" s="7"/>
      <c r="D63" s="7"/>
      <c r="E63" s="7"/>
      <c r="F63" s="7"/>
      <c r="G63" s="7"/>
      <c r="H63" s="7"/>
      <c r="I63" s="7"/>
      <c r="J63" s="6"/>
      <c r="T63" s="4">
        <v>0</v>
      </c>
    </row>
    <row r="64" spans="2:20" x14ac:dyDescent="0.45">
      <c r="B64" s="6"/>
      <c r="C64" s="7"/>
      <c r="D64" s="7"/>
      <c r="E64" s="7"/>
      <c r="F64" s="7"/>
      <c r="G64" s="7"/>
      <c r="H64" s="7"/>
      <c r="I64" s="7"/>
      <c r="J64" s="6"/>
      <c r="M64" s="9" t="s">
        <v>221</v>
      </c>
      <c r="N64" s="9">
        <v>1</v>
      </c>
      <c r="O64" s="9">
        <v>1</v>
      </c>
      <c r="P64" s="9" cm="1">
        <f t="array" ref="P64">INDEX(Options!$A$216:$A$220,'VBA Test'!O64)</f>
        <v>0</v>
      </c>
      <c r="T64" s="4">
        <v>0</v>
      </c>
    </row>
    <row r="65" spans="2:20" x14ac:dyDescent="0.45">
      <c r="B65" s="6"/>
      <c r="C65" s="7"/>
      <c r="D65" s="7"/>
      <c r="E65" s="7"/>
      <c r="F65" s="7"/>
      <c r="G65" s="7"/>
      <c r="H65" s="7"/>
      <c r="I65" s="7"/>
      <c r="J65" s="6"/>
      <c r="T65" s="4">
        <v>0</v>
      </c>
    </row>
    <row r="66" spans="2:20" x14ac:dyDescent="0.45">
      <c r="B66" s="6"/>
      <c r="C66" s="7"/>
      <c r="D66" s="7"/>
      <c r="E66" s="7"/>
      <c r="F66" s="7"/>
      <c r="G66" s="7"/>
      <c r="H66" s="7"/>
      <c r="I66" s="7"/>
      <c r="J66" s="6"/>
      <c r="M66" s="9" t="s">
        <v>222</v>
      </c>
      <c r="N66" s="9">
        <v>1</v>
      </c>
      <c r="O66" s="9">
        <v>1</v>
      </c>
      <c r="P66" s="9" cm="1">
        <f t="array" ref="P66">INDEX(Options!$A$222:$A$226,O66)</f>
        <v>0</v>
      </c>
      <c r="T66" s="4">
        <v>0</v>
      </c>
    </row>
    <row r="67" spans="2:20" x14ac:dyDescent="0.45">
      <c r="B67" s="6"/>
      <c r="C67" s="7"/>
      <c r="D67" s="7"/>
      <c r="E67" s="7"/>
      <c r="F67" s="7"/>
      <c r="G67" s="7"/>
      <c r="H67" s="7"/>
      <c r="I67" s="7"/>
      <c r="J67" s="6"/>
      <c r="T67" s="4">
        <v>0</v>
      </c>
    </row>
    <row r="68" spans="2:20" x14ac:dyDescent="0.45">
      <c r="B68" s="6"/>
      <c r="C68" s="7"/>
      <c r="D68" s="7"/>
      <c r="E68" s="7"/>
      <c r="F68" s="7"/>
      <c r="G68" s="7"/>
      <c r="H68" s="7"/>
      <c r="I68" s="7"/>
      <c r="J68" s="6"/>
      <c r="M68" s="9" t="s">
        <v>223</v>
      </c>
      <c r="N68" s="9">
        <v>1</v>
      </c>
      <c r="O68" s="9">
        <v>1</v>
      </c>
      <c r="P68" s="9" cm="1">
        <f t="array" ref="P68">INDEX(Options!$A$228:$A$231,'VBA Test'!O68)</f>
        <v>0</v>
      </c>
      <c r="T68" s="4" t="b">
        <v>0</v>
      </c>
    </row>
    <row r="69" spans="2:20" x14ac:dyDescent="0.45">
      <c r="B69" s="6"/>
      <c r="C69" s="7"/>
      <c r="D69" s="7"/>
      <c r="E69" s="7"/>
      <c r="F69" s="7"/>
      <c r="G69" s="7"/>
      <c r="H69" s="7"/>
      <c r="I69" s="7"/>
      <c r="J69" s="6"/>
      <c r="T69" s="4" t="b">
        <v>0</v>
      </c>
    </row>
    <row r="70" spans="2:20" x14ac:dyDescent="0.45">
      <c r="B70" s="6"/>
      <c r="C70" s="6"/>
      <c r="D70" s="6"/>
      <c r="E70" s="6"/>
      <c r="F70" s="6"/>
      <c r="G70" s="6"/>
      <c r="H70" s="6"/>
      <c r="I70" s="6"/>
      <c r="J70" s="6"/>
      <c r="T70" s="4" t="b">
        <v>0</v>
      </c>
    </row>
    <row r="71" spans="2:20" x14ac:dyDescent="0.45">
      <c r="B71" s="6"/>
      <c r="C71" s="7"/>
      <c r="D71" s="7"/>
      <c r="E71" s="7"/>
      <c r="F71" s="6"/>
      <c r="G71" s="6"/>
      <c r="H71" s="6"/>
      <c r="I71" s="6"/>
      <c r="J71" s="6"/>
      <c r="T71" s="4" t="b">
        <v>0</v>
      </c>
    </row>
    <row r="72" spans="2:20" x14ac:dyDescent="0.45">
      <c r="B72" s="6"/>
      <c r="C72" s="7"/>
      <c r="D72" s="7"/>
      <c r="E72" s="7"/>
      <c r="F72" s="6"/>
      <c r="G72" s="6"/>
      <c r="H72" s="6"/>
      <c r="I72" s="6"/>
      <c r="J72" s="6"/>
      <c r="M72" s="9" t="s">
        <v>224</v>
      </c>
      <c r="N72" s="9" t="b">
        <v>0</v>
      </c>
      <c r="O72" s="9" t="b">
        <v>0</v>
      </c>
      <c r="P72" s="9" t="b">
        <f>O72</f>
        <v>0</v>
      </c>
      <c r="T72" s="4" t="b">
        <v>0</v>
      </c>
    </row>
    <row r="73" spans="2:20" x14ac:dyDescent="0.45">
      <c r="B73" s="6"/>
      <c r="C73" s="7"/>
      <c r="D73" s="7"/>
      <c r="E73" s="7"/>
      <c r="F73" s="6"/>
      <c r="G73" s="6"/>
      <c r="H73" s="6"/>
      <c r="I73" s="6"/>
      <c r="J73" s="6"/>
      <c r="M73" s="9" t="s">
        <v>225</v>
      </c>
      <c r="N73" s="9" t="b">
        <v>0</v>
      </c>
      <c r="O73" s="9" t="b">
        <v>0</v>
      </c>
      <c r="P73" s="9" t="b">
        <f t="shared" ref="P73:P75" si="1">O73</f>
        <v>0</v>
      </c>
      <c r="T73" s="4" t="b">
        <v>0</v>
      </c>
    </row>
    <row r="74" spans="2:20" x14ac:dyDescent="0.45">
      <c r="B74" s="6"/>
      <c r="C74" s="7"/>
      <c r="D74" s="7"/>
      <c r="E74" s="7"/>
      <c r="F74" s="6"/>
      <c r="G74" s="6"/>
      <c r="H74" s="6"/>
      <c r="I74" s="6"/>
      <c r="J74" s="6"/>
      <c r="M74" s="9" t="s">
        <v>226</v>
      </c>
      <c r="N74" s="9" t="b">
        <v>0</v>
      </c>
      <c r="O74" s="9" t="b">
        <v>0</v>
      </c>
      <c r="P74" s="9" t="b">
        <f t="shared" si="1"/>
        <v>0</v>
      </c>
      <c r="T74" s="4" t="b">
        <v>0</v>
      </c>
    </row>
    <row r="75" spans="2:20" x14ac:dyDescent="0.45">
      <c r="B75" s="6"/>
      <c r="C75" s="7"/>
      <c r="D75" s="7"/>
      <c r="E75" s="7"/>
      <c r="F75" s="6"/>
      <c r="G75" s="6"/>
      <c r="H75" s="6"/>
      <c r="I75" s="6"/>
      <c r="J75" s="6"/>
      <c r="M75" s="9" t="s">
        <v>227</v>
      </c>
      <c r="N75" s="9" t="b">
        <v>0</v>
      </c>
      <c r="O75" s="9" t="b">
        <v>0</v>
      </c>
      <c r="P75" s="9" t="b">
        <f t="shared" si="1"/>
        <v>0</v>
      </c>
      <c r="T75" s="4" t="b">
        <v>0</v>
      </c>
    </row>
    <row r="76" spans="2:20" x14ac:dyDescent="0.45">
      <c r="B76" s="6"/>
      <c r="C76" s="7"/>
      <c r="D76" s="7"/>
      <c r="E76" s="7"/>
      <c r="F76" s="6"/>
      <c r="G76" s="6"/>
      <c r="H76" s="6"/>
      <c r="I76" s="6"/>
      <c r="J76" s="6"/>
      <c r="T76" s="4" t="b">
        <v>0</v>
      </c>
    </row>
    <row r="77" spans="2:20" x14ac:dyDescent="0.45">
      <c r="B77" s="6"/>
      <c r="C77" s="7"/>
      <c r="D77" s="7"/>
      <c r="E77" s="7">
        <f>COUNTIF(O72:O75,TRUE)</f>
        <v>0</v>
      </c>
      <c r="F77" s="6"/>
      <c r="G77" s="6"/>
      <c r="H77" s="6"/>
      <c r="I77" s="6"/>
      <c r="J77" s="6"/>
      <c r="M77" s="9" t="s">
        <v>228</v>
      </c>
      <c r="P77" s="9">
        <f>IFERROR(E77,"error result")</f>
        <v>0</v>
      </c>
      <c r="T77" s="4" t="b">
        <v>0</v>
      </c>
    </row>
    <row r="78" spans="2:20" x14ac:dyDescent="0.45">
      <c r="B78" s="6"/>
      <c r="C78" s="6"/>
      <c r="D78" s="6"/>
      <c r="E78" s="6"/>
      <c r="F78" s="6"/>
      <c r="G78" s="6"/>
      <c r="H78" s="6"/>
      <c r="I78" s="6"/>
      <c r="J78" s="6"/>
      <c r="T78" s="4" t="b">
        <v>0</v>
      </c>
    </row>
    <row r="79" spans="2:20" x14ac:dyDescent="0.45">
      <c r="T79" s="4" t="b">
        <v>0</v>
      </c>
    </row>
    <row r="80" spans="2:20" x14ac:dyDescent="0.45">
      <c r="B80" s="6"/>
      <c r="C80" s="6"/>
      <c r="D80" s="6"/>
      <c r="E80" s="6"/>
      <c r="F80" s="6"/>
      <c r="G80" s="6"/>
      <c r="H80" s="6"/>
      <c r="I80" s="6"/>
      <c r="T80" s="4" t="b">
        <v>0</v>
      </c>
    </row>
    <row r="81" spans="2:20" x14ac:dyDescent="0.45">
      <c r="B81" s="6"/>
      <c r="C81" s="7"/>
      <c r="D81" s="7"/>
      <c r="E81" s="7"/>
      <c r="F81" s="7"/>
      <c r="G81" s="7"/>
      <c r="H81" s="7"/>
      <c r="I81" s="6"/>
      <c r="T81" s="4" t="b">
        <v>0</v>
      </c>
    </row>
    <row r="82" spans="2:20" x14ac:dyDescent="0.45">
      <c r="B82" s="6"/>
      <c r="C82" s="7"/>
      <c r="D82" s="7"/>
      <c r="E82" s="7"/>
      <c r="F82" s="7"/>
      <c r="G82" s="7"/>
      <c r="H82" s="7"/>
      <c r="I82" s="6"/>
      <c r="M82" s="9" t="s">
        <v>138</v>
      </c>
      <c r="N82" s="9">
        <v>1</v>
      </c>
      <c r="O82" s="9">
        <v>1</v>
      </c>
      <c r="P82" s="9">
        <f>IFERROR(INDEX(Options!A241:A245,'VBA Test'!O82),"error result")</f>
        <v>0</v>
      </c>
      <c r="T82" s="4" t="b">
        <v>0</v>
      </c>
    </row>
    <row r="83" spans="2:20" x14ac:dyDescent="0.45">
      <c r="B83" s="6"/>
      <c r="C83" s="7"/>
      <c r="D83" s="7"/>
      <c r="E83" s="7"/>
      <c r="F83" s="7"/>
      <c r="G83" s="7"/>
      <c r="H83" s="7"/>
      <c r="I83" s="6"/>
      <c r="T83" s="4" t="b">
        <v>0</v>
      </c>
    </row>
    <row r="84" spans="2:20" x14ac:dyDescent="0.45">
      <c r="B84" s="6"/>
      <c r="C84" s="7"/>
      <c r="D84" s="7"/>
      <c r="E84" s="7"/>
      <c r="F84" s="7"/>
      <c r="G84" s="7"/>
      <c r="H84" s="7"/>
      <c r="I84" s="6"/>
      <c r="M84" s="9" t="s">
        <v>151</v>
      </c>
      <c r="N84" s="9" t="s">
        <v>150</v>
      </c>
      <c r="O84" s="9" t="s">
        <v>150</v>
      </c>
      <c r="P84" s="9" t="str">
        <f>O84</f>
        <v xml:space="preserve"> </v>
      </c>
      <c r="T84" s="4" t="b">
        <v>0</v>
      </c>
    </row>
    <row r="85" spans="2:20" x14ac:dyDescent="0.45">
      <c r="B85" s="6"/>
      <c r="C85" s="7"/>
      <c r="D85" s="7"/>
      <c r="E85" s="7"/>
      <c r="F85" s="7"/>
      <c r="G85" s="7"/>
      <c r="H85" s="7"/>
      <c r="I85" s="6"/>
      <c r="T85" s="4" t="b">
        <v>0</v>
      </c>
    </row>
    <row r="86" spans="2:20" x14ac:dyDescent="0.45">
      <c r="B86" s="6"/>
      <c r="C86" s="7"/>
      <c r="D86" s="7"/>
      <c r="E86" s="7"/>
      <c r="F86" s="7"/>
      <c r="G86" s="7"/>
      <c r="H86" s="7"/>
      <c r="I86" s="6"/>
      <c r="T86" s="4" t="b">
        <v>0</v>
      </c>
    </row>
    <row r="87" spans="2:20" x14ac:dyDescent="0.45">
      <c r="B87" s="6"/>
      <c r="C87" s="7"/>
      <c r="D87" s="7"/>
      <c r="E87" s="7"/>
      <c r="F87" s="7"/>
      <c r="G87" s="7"/>
      <c r="H87" s="7"/>
      <c r="I87" s="6"/>
      <c r="T87" s="4" t="b">
        <v>0</v>
      </c>
    </row>
    <row r="88" spans="2:20" x14ac:dyDescent="0.45">
      <c r="B88" s="6"/>
      <c r="C88" s="7"/>
      <c r="D88" s="7"/>
      <c r="E88" s="7"/>
      <c r="F88" s="7"/>
      <c r="G88" s="7"/>
      <c r="H88" s="7"/>
      <c r="I88" s="6"/>
      <c r="M88" s="9" t="s">
        <v>114</v>
      </c>
      <c r="N88" s="9">
        <v>1</v>
      </c>
      <c r="O88" s="9">
        <v>1</v>
      </c>
      <c r="P88" s="9">
        <f>IFERROR(INDEX(Options!A253:A260,'VBA Test'!O88),"error result")</f>
        <v>0</v>
      </c>
      <c r="T88" s="4" t="b">
        <v>0</v>
      </c>
    </row>
    <row r="89" spans="2:20" x14ac:dyDescent="0.45">
      <c r="B89" s="6"/>
      <c r="C89" s="7"/>
      <c r="D89" s="7"/>
      <c r="E89" s="7"/>
      <c r="F89" s="7"/>
      <c r="G89" s="7"/>
      <c r="H89" s="7"/>
      <c r="I89" s="6"/>
      <c r="T89" s="4" t="b">
        <v>0</v>
      </c>
    </row>
    <row r="90" spans="2:20" x14ac:dyDescent="0.45">
      <c r="B90" s="6"/>
      <c r="C90" s="7"/>
      <c r="D90" s="7"/>
      <c r="E90" s="7"/>
      <c r="F90" s="7"/>
      <c r="G90" s="7"/>
      <c r="H90" s="7"/>
      <c r="I90" s="6"/>
      <c r="M90" s="9" t="s">
        <v>157</v>
      </c>
      <c r="N90" s="9" t="s">
        <v>150</v>
      </c>
      <c r="O90" s="9" t="s">
        <v>150</v>
      </c>
      <c r="P90" s="9" t="str">
        <f>O90</f>
        <v xml:space="preserve"> </v>
      </c>
      <c r="T90" s="4" t="b">
        <v>0</v>
      </c>
    </row>
    <row r="91" spans="2:20" x14ac:dyDescent="0.45">
      <c r="B91" s="6"/>
      <c r="C91" s="7"/>
      <c r="D91" s="7"/>
      <c r="E91" s="7"/>
      <c r="F91" s="7"/>
      <c r="G91" s="7"/>
      <c r="H91" s="7"/>
      <c r="I91" s="6"/>
      <c r="T91" s="4" t="b">
        <v>0</v>
      </c>
    </row>
    <row r="92" spans="2:20" x14ac:dyDescent="0.45">
      <c r="B92" s="6"/>
      <c r="C92" s="7"/>
      <c r="D92" s="7"/>
      <c r="E92" s="7"/>
      <c r="F92" s="7"/>
      <c r="G92" s="7"/>
      <c r="H92" s="7"/>
      <c r="I92" s="6"/>
      <c r="T92" s="4" t="b">
        <v>0</v>
      </c>
    </row>
    <row r="93" spans="2:20" x14ac:dyDescent="0.45">
      <c r="B93" s="6"/>
      <c r="C93" s="7"/>
      <c r="D93" s="7"/>
      <c r="E93" s="7"/>
      <c r="F93" s="7"/>
      <c r="G93" s="7"/>
      <c r="H93" s="7"/>
      <c r="I93" s="6"/>
      <c r="M93" s="9" t="s">
        <v>113</v>
      </c>
      <c r="N93" s="9">
        <v>1</v>
      </c>
      <c r="O93" s="9">
        <v>1</v>
      </c>
      <c r="P93" s="9">
        <f>IFERROR(INDEX(Options!A248:A251,'VBA Test'!O93),"error result")</f>
        <v>0</v>
      </c>
      <c r="T93" s="4" t="b">
        <v>0</v>
      </c>
    </row>
    <row r="94" spans="2:20" x14ac:dyDescent="0.45">
      <c r="B94" s="6"/>
      <c r="C94" s="7"/>
      <c r="D94" s="7"/>
      <c r="E94" s="7"/>
      <c r="F94" s="7"/>
      <c r="G94" s="7"/>
      <c r="H94" s="7"/>
      <c r="I94" s="6"/>
      <c r="T94" s="4" t="b">
        <v>0</v>
      </c>
    </row>
    <row r="95" spans="2:20" x14ac:dyDescent="0.45">
      <c r="B95" s="6"/>
      <c r="C95" s="7"/>
      <c r="D95" s="7"/>
      <c r="E95" s="7"/>
      <c r="F95" s="7"/>
      <c r="G95" s="7"/>
      <c r="H95" s="7"/>
      <c r="I95" s="6"/>
      <c r="M95" s="9" t="s">
        <v>115</v>
      </c>
      <c r="N95" s="9">
        <v>1</v>
      </c>
      <c r="O95" s="9">
        <v>1</v>
      </c>
      <c r="P95" s="9">
        <f>IFERROR(INDEX(Options!A262:A266,'VBA Test'!O95),"error result")</f>
        <v>0</v>
      </c>
      <c r="T95" s="4">
        <v>0</v>
      </c>
    </row>
    <row r="96" spans="2:20" x14ac:dyDescent="0.45">
      <c r="B96" s="6"/>
      <c r="C96" s="7"/>
      <c r="D96" s="7"/>
      <c r="E96" s="7"/>
      <c r="F96" s="7"/>
      <c r="G96" s="7"/>
      <c r="H96" s="7"/>
      <c r="I96" s="6"/>
      <c r="T96" s="4">
        <v>0</v>
      </c>
    </row>
    <row r="97" spans="2:20" x14ac:dyDescent="0.45">
      <c r="B97" s="6"/>
      <c r="C97" s="7"/>
      <c r="D97" s="7"/>
      <c r="E97" s="7"/>
      <c r="F97" s="7"/>
      <c r="G97" s="7"/>
      <c r="H97" s="7"/>
      <c r="I97" s="6"/>
      <c r="M97" s="9" t="s">
        <v>134</v>
      </c>
      <c r="N97" s="9">
        <v>1</v>
      </c>
      <c r="O97" s="9">
        <v>1</v>
      </c>
      <c r="P97" s="9">
        <f>IFERROR(INDEX(Options!A268:A272,'VBA Test'!O97),"error result")</f>
        <v>0</v>
      </c>
      <c r="T97" s="4">
        <v>0</v>
      </c>
    </row>
    <row r="98" spans="2:20" x14ac:dyDescent="0.45">
      <c r="B98" s="6"/>
      <c r="C98" s="7"/>
      <c r="D98" s="7"/>
      <c r="E98" s="7"/>
      <c r="F98" s="7"/>
      <c r="G98" s="7"/>
      <c r="H98" s="7"/>
      <c r="I98" s="6"/>
      <c r="T98" s="4">
        <v>0</v>
      </c>
    </row>
    <row r="99" spans="2:20" x14ac:dyDescent="0.45">
      <c r="B99" s="6"/>
      <c r="C99" s="7"/>
      <c r="D99" s="7"/>
      <c r="E99" s="7"/>
      <c r="F99" s="7"/>
      <c r="G99" s="7"/>
      <c r="H99" s="7"/>
      <c r="I99" s="6"/>
      <c r="M99" s="9" t="s">
        <v>158</v>
      </c>
      <c r="N99" s="9">
        <v>1</v>
      </c>
      <c r="O99" s="9">
        <v>1</v>
      </c>
      <c r="P99" s="9">
        <f>IFERROR(INDEX(Options!A274:A278,'VBA Test'!O99),"error result")</f>
        <v>0</v>
      </c>
      <c r="T99" s="4">
        <v>0</v>
      </c>
    </row>
    <row r="100" spans="2:20" x14ac:dyDescent="0.45">
      <c r="B100" s="6"/>
      <c r="C100" s="7"/>
      <c r="D100" s="7"/>
      <c r="E100" s="7"/>
      <c r="F100" s="7"/>
      <c r="G100" s="7"/>
      <c r="H100" s="7"/>
      <c r="I100" s="6"/>
      <c r="T100" s="4">
        <v>0</v>
      </c>
    </row>
    <row r="101" spans="2:20" x14ac:dyDescent="0.45">
      <c r="B101" s="6"/>
      <c r="C101" s="6"/>
      <c r="D101" s="6"/>
      <c r="E101" s="6"/>
      <c r="F101" s="6"/>
      <c r="G101" s="6"/>
      <c r="H101" s="6"/>
      <c r="I101" s="6"/>
      <c r="T101" s="4">
        <v>0</v>
      </c>
    </row>
    <row r="102" spans="2:20" x14ac:dyDescent="0.45">
      <c r="B102" s="6"/>
      <c r="C102" s="7"/>
      <c r="D102" s="7"/>
      <c r="E102" s="7"/>
      <c r="F102" s="7"/>
      <c r="G102" s="7"/>
      <c r="H102" s="6"/>
      <c r="I102" s="6"/>
      <c r="T102" s="4">
        <v>0</v>
      </c>
    </row>
    <row r="103" spans="2:20" x14ac:dyDescent="0.45">
      <c r="B103" s="6"/>
      <c r="C103" s="7"/>
      <c r="D103" s="7"/>
      <c r="E103" s="7"/>
      <c r="F103" s="7"/>
      <c r="G103" s="7"/>
      <c r="H103" s="6"/>
      <c r="I103" s="6"/>
      <c r="M103" s="9" t="s">
        <v>139</v>
      </c>
      <c r="N103" s="9" t="b">
        <v>0</v>
      </c>
      <c r="O103" s="9" t="b">
        <v>0</v>
      </c>
      <c r="P103" s="9" t="b">
        <f>O103</f>
        <v>0</v>
      </c>
      <c r="T103" s="4" t="b">
        <v>0</v>
      </c>
    </row>
    <row r="104" spans="2:20" x14ac:dyDescent="0.45">
      <c r="B104" s="6"/>
      <c r="C104" s="7"/>
      <c r="D104" s="7"/>
      <c r="E104" s="7"/>
      <c r="F104" s="7"/>
      <c r="G104" s="7"/>
      <c r="H104" s="6"/>
      <c r="I104" s="6"/>
      <c r="M104" s="9" t="s">
        <v>140</v>
      </c>
      <c r="N104" s="9" t="b">
        <v>0</v>
      </c>
      <c r="O104" s="9" t="b">
        <v>0</v>
      </c>
      <c r="P104" s="9" t="b">
        <f t="shared" ref="P104:P107" si="2">O104</f>
        <v>0</v>
      </c>
      <c r="T104" s="4" t="b">
        <v>0</v>
      </c>
    </row>
    <row r="105" spans="2:20" x14ac:dyDescent="0.45">
      <c r="B105" s="6"/>
      <c r="C105" s="7"/>
      <c r="D105" s="7"/>
      <c r="E105" s="7"/>
      <c r="F105" s="7"/>
      <c r="G105" s="7"/>
      <c r="H105" s="6"/>
      <c r="I105" s="6"/>
      <c r="M105" s="9" t="s">
        <v>141</v>
      </c>
      <c r="N105" s="9" t="b">
        <v>0</v>
      </c>
      <c r="O105" s="9" t="b">
        <v>0</v>
      </c>
      <c r="P105" s="9" t="b">
        <f t="shared" si="2"/>
        <v>0</v>
      </c>
      <c r="T105" s="4" t="b">
        <v>0</v>
      </c>
    </row>
    <row r="106" spans="2:20" x14ac:dyDescent="0.45">
      <c r="B106" s="6"/>
      <c r="C106" s="7"/>
      <c r="D106" s="7"/>
      <c r="E106" s="7"/>
      <c r="F106" s="7"/>
      <c r="G106" s="7"/>
      <c r="H106" s="6"/>
      <c r="I106" s="6"/>
      <c r="M106" s="9" t="s">
        <v>142</v>
      </c>
      <c r="N106" s="9" t="b">
        <v>0</v>
      </c>
      <c r="O106" s="9" t="b">
        <v>0</v>
      </c>
      <c r="P106" s="9" t="b">
        <f t="shared" si="2"/>
        <v>0</v>
      </c>
      <c r="T106" s="4" t="b">
        <v>0</v>
      </c>
    </row>
    <row r="107" spans="2:20" x14ac:dyDescent="0.45">
      <c r="B107" s="6"/>
      <c r="C107" s="7"/>
      <c r="D107" s="7"/>
      <c r="E107" s="7"/>
      <c r="F107" s="7"/>
      <c r="G107" s="7"/>
      <c r="H107" s="6"/>
      <c r="I107" s="6"/>
      <c r="M107" s="9" t="s">
        <v>135</v>
      </c>
      <c r="N107" s="9" t="b">
        <v>0</v>
      </c>
      <c r="O107" s="9" t="b">
        <v>0</v>
      </c>
      <c r="P107" s="9" t="b">
        <f t="shared" si="2"/>
        <v>0</v>
      </c>
      <c r="T107" s="4">
        <v>0</v>
      </c>
    </row>
    <row r="108" spans="2:20" x14ac:dyDescent="0.45">
      <c r="B108" s="6"/>
      <c r="C108" s="7"/>
      <c r="D108" s="7"/>
      <c r="E108" s="7"/>
      <c r="F108" s="7"/>
      <c r="G108" s="7"/>
      <c r="H108" s="6"/>
      <c r="I108" s="6"/>
      <c r="T108" s="4">
        <v>0</v>
      </c>
    </row>
    <row r="109" spans="2:20" x14ac:dyDescent="0.45">
      <c r="B109" s="6"/>
      <c r="C109" s="6"/>
      <c r="D109" s="6"/>
      <c r="E109" s="6"/>
      <c r="F109" s="6"/>
      <c r="G109" s="6"/>
      <c r="H109" s="6"/>
      <c r="I109" s="6"/>
    </row>
    <row r="110" spans="2:20" x14ac:dyDescent="0.45">
      <c r="B110" s="6"/>
      <c r="C110" s="7"/>
      <c r="D110" s="7"/>
      <c r="E110" s="7"/>
      <c r="F110" s="7"/>
      <c r="G110" s="7"/>
      <c r="H110" s="7"/>
      <c r="I110" s="6"/>
    </row>
    <row r="111" spans="2:20" x14ac:dyDescent="0.45">
      <c r="B111" s="6"/>
      <c r="C111" s="7"/>
      <c r="D111" s="7"/>
      <c r="E111" s="7"/>
      <c r="F111" s="7"/>
      <c r="G111" s="7"/>
      <c r="H111" s="7"/>
      <c r="I111" s="6"/>
      <c r="M111" s="9" t="s">
        <v>143</v>
      </c>
      <c r="N111" s="9" t="s">
        <v>150</v>
      </c>
      <c r="O111" s="9" t="s">
        <v>150</v>
      </c>
      <c r="P111" s="9" t="str">
        <f>O111</f>
        <v xml:space="preserve"> </v>
      </c>
    </row>
    <row r="112" spans="2:20" x14ac:dyDescent="0.45">
      <c r="B112" s="6"/>
      <c r="C112" s="7"/>
      <c r="D112" s="7"/>
      <c r="E112" s="7"/>
      <c r="F112" s="7"/>
      <c r="G112" s="7"/>
      <c r="H112" s="7"/>
      <c r="I112" s="6"/>
    </row>
    <row r="113" spans="2:16" x14ac:dyDescent="0.45">
      <c r="B113" s="6"/>
      <c r="C113" s="7"/>
      <c r="D113" s="7"/>
      <c r="E113" s="7"/>
      <c r="F113" s="7"/>
      <c r="G113" s="7"/>
      <c r="H113" s="7"/>
      <c r="I113" s="6"/>
      <c r="M113" s="9" t="s">
        <v>144</v>
      </c>
      <c r="N113" s="9" t="s">
        <v>150</v>
      </c>
      <c r="O113" s="9" t="s">
        <v>150</v>
      </c>
      <c r="P113" s="9" t="str">
        <f>O113</f>
        <v xml:space="preserve"> </v>
      </c>
    </row>
    <row r="114" spans="2:16" x14ac:dyDescent="0.45">
      <c r="B114" s="6"/>
      <c r="C114" s="7"/>
      <c r="D114" s="7"/>
      <c r="E114" s="7"/>
      <c r="F114" s="7"/>
      <c r="G114" s="7"/>
      <c r="H114" s="7"/>
      <c r="I114" s="6"/>
      <c r="M114" s="9" t="s">
        <v>145</v>
      </c>
      <c r="N114" s="9" t="s">
        <v>150</v>
      </c>
      <c r="O114" s="9" t="s">
        <v>150</v>
      </c>
      <c r="P114" s="9" t="str">
        <f>O114</f>
        <v xml:space="preserve"> </v>
      </c>
    </row>
    <row r="115" spans="2:16" x14ac:dyDescent="0.45">
      <c r="B115" s="6"/>
      <c r="C115" s="7"/>
      <c r="D115" s="7"/>
      <c r="E115" s="7"/>
      <c r="F115" s="7"/>
      <c r="G115" s="7"/>
      <c r="H115" s="7"/>
      <c r="I115" s="6"/>
    </row>
    <row r="116" spans="2:16" x14ac:dyDescent="0.45">
      <c r="B116" s="6"/>
      <c r="C116" s="7"/>
      <c r="D116" s="7"/>
      <c r="E116" s="7"/>
      <c r="F116" s="7"/>
      <c r="G116" s="7"/>
      <c r="H116" s="7"/>
      <c r="I116" s="6"/>
      <c r="M116" s="9" t="s">
        <v>147</v>
      </c>
      <c r="N116" s="9" t="s">
        <v>150</v>
      </c>
      <c r="O116" s="9" t="s">
        <v>150</v>
      </c>
      <c r="P116" s="9" t="str">
        <f>O116</f>
        <v xml:space="preserve"> </v>
      </c>
    </row>
    <row r="117" spans="2:16" x14ac:dyDescent="0.45">
      <c r="B117" s="6"/>
      <c r="C117" s="7"/>
      <c r="D117" s="7"/>
      <c r="E117" s="7"/>
      <c r="F117" s="7"/>
      <c r="G117" s="7"/>
      <c r="H117" s="7"/>
      <c r="I117" s="6"/>
    </row>
    <row r="118" spans="2:16" x14ac:dyDescent="0.45">
      <c r="B118" s="6"/>
      <c r="C118" s="7"/>
      <c r="D118" s="7"/>
      <c r="E118" s="7"/>
      <c r="F118" s="7"/>
      <c r="G118" s="7"/>
      <c r="H118" s="7"/>
      <c r="I118" s="6"/>
    </row>
    <row r="119" spans="2:16" x14ac:dyDescent="0.45">
      <c r="B119" s="6"/>
      <c r="C119" s="7"/>
      <c r="D119" s="7"/>
      <c r="E119" s="7"/>
      <c r="F119" s="7"/>
      <c r="G119" s="7"/>
      <c r="H119" s="7"/>
      <c r="I119" s="6"/>
    </row>
    <row r="120" spans="2:16" x14ac:dyDescent="0.45">
      <c r="B120" s="6"/>
      <c r="C120" s="7"/>
      <c r="D120" s="7"/>
      <c r="E120" s="7"/>
      <c r="F120" s="7"/>
      <c r="G120" s="7"/>
      <c r="H120" s="7"/>
      <c r="I120" s="6"/>
    </row>
    <row r="121" spans="2:16" x14ac:dyDescent="0.45">
      <c r="B121" s="6"/>
      <c r="C121" s="7"/>
      <c r="D121" s="7"/>
      <c r="E121" s="7"/>
      <c r="F121" s="7"/>
      <c r="G121" s="7"/>
      <c r="H121" s="7"/>
      <c r="I121" s="6"/>
    </row>
    <row r="122" spans="2:16" x14ac:dyDescent="0.45">
      <c r="B122" s="6"/>
      <c r="C122" s="7"/>
      <c r="D122" s="7"/>
      <c r="E122" s="7"/>
      <c r="F122" s="7"/>
      <c r="G122" s="7"/>
      <c r="H122" s="7"/>
      <c r="I122" s="6"/>
      <c r="M122" s="9" t="s">
        <v>148</v>
      </c>
      <c r="N122" s="9" t="s">
        <v>150</v>
      </c>
      <c r="O122" s="9" t="s">
        <v>150</v>
      </c>
      <c r="P122" s="9" t="str">
        <f>O122</f>
        <v xml:space="preserve"> </v>
      </c>
    </row>
    <row r="123" spans="2:16" x14ac:dyDescent="0.45">
      <c r="B123" s="6"/>
      <c r="C123" s="7"/>
      <c r="D123" s="7"/>
      <c r="E123" s="7"/>
      <c r="F123" s="7"/>
      <c r="G123" s="7"/>
      <c r="H123" s="7"/>
      <c r="I123" s="6"/>
    </row>
    <row r="124" spans="2:16" x14ac:dyDescent="0.45">
      <c r="B124" s="6"/>
      <c r="C124" s="7"/>
      <c r="D124" s="7"/>
      <c r="E124" s="7"/>
      <c r="F124" s="7"/>
      <c r="G124" s="7"/>
      <c r="H124" s="7"/>
      <c r="I124" s="6"/>
    </row>
    <row r="125" spans="2:16" x14ac:dyDescent="0.45">
      <c r="B125" s="6"/>
      <c r="C125" s="7"/>
      <c r="D125" s="7"/>
      <c r="E125" s="7"/>
      <c r="F125" s="7"/>
      <c r="G125" s="7"/>
      <c r="H125" s="7"/>
      <c r="I125" s="6"/>
      <c r="M125" s="9" t="s">
        <v>186</v>
      </c>
      <c r="N125" s="9" t="b">
        <v>0</v>
      </c>
      <c r="O125" s="9" t="b">
        <v>0</v>
      </c>
      <c r="P125" s="9" t="b">
        <f>O125</f>
        <v>0</v>
      </c>
    </row>
    <row r="126" spans="2:16" x14ac:dyDescent="0.45">
      <c r="B126" s="6"/>
      <c r="C126" s="7"/>
      <c r="D126" s="7"/>
      <c r="E126" s="7"/>
      <c r="F126" s="7"/>
      <c r="G126" s="7"/>
      <c r="H126" s="7"/>
      <c r="I126" s="6"/>
      <c r="M126" s="9" t="s">
        <v>187</v>
      </c>
      <c r="N126" s="9" t="b">
        <v>0</v>
      </c>
      <c r="O126" s="9" t="b">
        <v>0</v>
      </c>
      <c r="P126" s="9" t="b">
        <f t="shared" ref="P126:P151" si="3">O126</f>
        <v>0</v>
      </c>
    </row>
    <row r="127" spans="2:16" x14ac:dyDescent="0.45">
      <c r="B127" s="6"/>
      <c r="C127" s="7"/>
      <c r="D127" s="7"/>
      <c r="E127" s="7"/>
      <c r="F127" s="7"/>
      <c r="G127" s="7"/>
      <c r="H127" s="7"/>
      <c r="I127" s="6"/>
      <c r="M127" s="9" t="s">
        <v>188</v>
      </c>
      <c r="N127" s="9" t="b">
        <v>0</v>
      </c>
      <c r="O127" s="9" t="b">
        <v>0</v>
      </c>
      <c r="P127" s="9" t="b">
        <f t="shared" si="3"/>
        <v>0</v>
      </c>
    </row>
    <row r="128" spans="2:16" x14ac:dyDescent="0.45">
      <c r="B128" s="6"/>
      <c r="C128" s="6"/>
      <c r="D128" s="6"/>
      <c r="E128" s="6"/>
      <c r="F128" s="6"/>
      <c r="G128" s="6"/>
      <c r="H128" s="6"/>
      <c r="I128" s="6"/>
      <c r="M128" s="9" t="s">
        <v>189</v>
      </c>
      <c r="N128" s="9" t="b">
        <v>0</v>
      </c>
      <c r="O128" s="9" t="b">
        <v>0</v>
      </c>
      <c r="P128" s="9" t="b">
        <f t="shared" si="3"/>
        <v>0</v>
      </c>
    </row>
    <row r="129" spans="2:16" x14ac:dyDescent="0.45">
      <c r="M129" s="9" t="s">
        <v>190</v>
      </c>
      <c r="N129" s="9" t="b">
        <v>0</v>
      </c>
      <c r="O129" s="9" t="b">
        <v>0</v>
      </c>
      <c r="P129" s="9" t="b">
        <f t="shared" si="3"/>
        <v>0</v>
      </c>
    </row>
    <row r="130" spans="2:16" x14ac:dyDescent="0.45">
      <c r="B130" s="6"/>
      <c r="C130" s="6"/>
      <c r="D130" s="6"/>
      <c r="E130" s="6"/>
      <c r="F130" s="6"/>
      <c r="G130" s="6"/>
      <c r="H130" s="6"/>
      <c r="I130" s="6"/>
      <c r="J130" s="6"/>
      <c r="M130" s="9" t="s">
        <v>191</v>
      </c>
      <c r="N130" s="9" t="b">
        <v>0</v>
      </c>
      <c r="O130" s="9" t="b">
        <v>0</v>
      </c>
      <c r="P130" s="9" t="b">
        <f t="shared" si="3"/>
        <v>0</v>
      </c>
    </row>
    <row r="131" spans="2:16" x14ac:dyDescent="0.45">
      <c r="B131" s="6"/>
      <c r="C131" s="7"/>
      <c r="D131" s="7"/>
      <c r="E131" s="7"/>
      <c r="F131" s="7"/>
      <c r="G131" s="7"/>
      <c r="H131" s="7"/>
      <c r="I131" s="7"/>
      <c r="J131" s="6"/>
      <c r="M131" s="9" t="s">
        <v>192</v>
      </c>
      <c r="N131" s="9" t="b">
        <v>0</v>
      </c>
      <c r="O131" s="9" t="b">
        <v>0</v>
      </c>
      <c r="P131" s="9" t="b">
        <f t="shared" si="3"/>
        <v>0</v>
      </c>
    </row>
    <row r="132" spans="2:16" x14ac:dyDescent="0.45">
      <c r="B132" s="6"/>
      <c r="C132" s="7"/>
      <c r="D132" s="7"/>
      <c r="E132" s="7"/>
      <c r="F132" s="7"/>
      <c r="G132" s="7"/>
      <c r="H132" s="7"/>
      <c r="I132" s="7"/>
      <c r="J132" s="6"/>
      <c r="M132" s="9" t="s">
        <v>193</v>
      </c>
      <c r="N132" s="9" t="b">
        <v>0</v>
      </c>
      <c r="O132" s="9" t="b">
        <v>0</v>
      </c>
      <c r="P132" s="9" t="b">
        <f t="shared" si="3"/>
        <v>0</v>
      </c>
    </row>
    <row r="133" spans="2:16" x14ac:dyDescent="0.45">
      <c r="B133" s="6"/>
      <c r="C133" s="7"/>
      <c r="D133" s="7"/>
      <c r="E133" s="7"/>
      <c r="F133" s="7"/>
      <c r="G133" s="7"/>
      <c r="H133" s="7"/>
      <c r="I133" s="7"/>
      <c r="J133" s="6"/>
      <c r="M133" s="9" t="s">
        <v>194</v>
      </c>
      <c r="N133" s="9" t="b">
        <v>0</v>
      </c>
      <c r="O133" s="9" t="b">
        <v>0</v>
      </c>
      <c r="P133" s="9" t="b">
        <f t="shared" si="3"/>
        <v>0</v>
      </c>
    </row>
    <row r="134" spans="2:16" x14ac:dyDescent="0.45">
      <c r="B134" s="6"/>
      <c r="C134" s="7"/>
      <c r="D134" s="7"/>
      <c r="E134" s="7"/>
      <c r="F134" s="7"/>
      <c r="G134" s="7"/>
      <c r="H134" s="7"/>
      <c r="I134" s="7"/>
      <c r="J134" s="6"/>
      <c r="M134" s="9" t="s">
        <v>195</v>
      </c>
      <c r="N134" s="9" t="b">
        <v>0</v>
      </c>
      <c r="O134" s="9" t="b">
        <v>0</v>
      </c>
      <c r="P134" s="9" t="b">
        <f t="shared" si="3"/>
        <v>0</v>
      </c>
    </row>
    <row r="135" spans="2:16" x14ac:dyDescent="0.45">
      <c r="B135" s="6"/>
      <c r="C135" s="7"/>
      <c r="D135" s="7"/>
      <c r="E135" s="7"/>
      <c r="F135" s="7"/>
      <c r="G135" s="7"/>
      <c r="H135" s="7"/>
      <c r="I135" s="7"/>
      <c r="J135" s="6"/>
      <c r="M135" s="9" t="s">
        <v>196</v>
      </c>
      <c r="N135" s="9" t="b">
        <v>0</v>
      </c>
      <c r="O135" s="9" t="b">
        <v>0</v>
      </c>
      <c r="P135" s="9" t="b">
        <f t="shared" si="3"/>
        <v>0</v>
      </c>
    </row>
    <row r="136" spans="2:16" x14ac:dyDescent="0.45">
      <c r="B136" s="6"/>
      <c r="C136" s="7"/>
      <c r="D136" s="7"/>
      <c r="E136" s="7"/>
      <c r="F136" s="7"/>
      <c r="G136" s="7"/>
      <c r="H136" s="7"/>
      <c r="I136" s="7"/>
      <c r="J136" s="6"/>
      <c r="M136" s="9" t="s">
        <v>197</v>
      </c>
      <c r="N136" s="9" t="b">
        <v>0</v>
      </c>
      <c r="O136" s="9" t="b">
        <v>0</v>
      </c>
      <c r="P136" s="9" t="b">
        <f t="shared" si="3"/>
        <v>0</v>
      </c>
    </row>
    <row r="137" spans="2:16" x14ac:dyDescent="0.45">
      <c r="B137" s="6"/>
      <c r="C137" s="7"/>
      <c r="D137" s="7"/>
      <c r="E137" s="7"/>
      <c r="F137" s="7"/>
      <c r="G137" s="7"/>
      <c r="H137" s="7"/>
      <c r="I137" s="7"/>
      <c r="J137" s="6"/>
      <c r="M137" s="9" t="s">
        <v>198</v>
      </c>
      <c r="N137" s="9" t="b">
        <v>0</v>
      </c>
      <c r="O137" s="9" t="b">
        <v>0</v>
      </c>
      <c r="P137" s="9" t="b">
        <f t="shared" si="3"/>
        <v>0</v>
      </c>
    </row>
    <row r="138" spans="2:16" x14ac:dyDescent="0.45">
      <c r="B138" s="6"/>
      <c r="C138" s="7"/>
      <c r="D138" s="7"/>
      <c r="E138" s="7"/>
      <c r="F138" s="7"/>
      <c r="G138" s="7"/>
      <c r="H138" s="7"/>
      <c r="I138" s="7"/>
      <c r="J138" s="6"/>
      <c r="M138" s="9" t="s">
        <v>199</v>
      </c>
      <c r="N138" s="9" t="b">
        <v>0</v>
      </c>
      <c r="O138" s="9" t="b">
        <v>0</v>
      </c>
      <c r="P138" s="9" t="b">
        <f t="shared" si="3"/>
        <v>0</v>
      </c>
    </row>
    <row r="139" spans="2:16" x14ac:dyDescent="0.45">
      <c r="B139" s="6"/>
      <c r="C139" s="7"/>
      <c r="D139" s="7"/>
      <c r="E139" s="7"/>
      <c r="F139" s="7"/>
      <c r="G139" s="7"/>
      <c r="H139" s="7"/>
      <c r="I139" s="7"/>
      <c r="J139" s="6"/>
      <c r="M139" s="9" t="s">
        <v>200</v>
      </c>
      <c r="N139" s="9" t="b">
        <v>0</v>
      </c>
      <c r="O139" s="9" t="b">
        <v>0</v>
      </c>
      <c r="P139" s="9" t="b">
        <f t="shared" si="3"/>
        <v>0</v>
      </c>
    </row>
    <row r="140" spans="2:16" x14ac:dyDescent="0.45">
      <c r="B140" s="6"/>
      <c r="C140" s="7"/>
      <c r="D140" s="7"/>
      <c r="E140" s="7"/>
      <c r="F140" s="7"/>
      <c r="G140" s="7"/>
      <c r="H140" s="7"/>
      <c r="I140" s="7"/>
      <c r="J140" s="6"/>
      <c r="M140" s="9" t="s">
        <v>201</v>
      </c>
      <c r="N140" s="9" t="b">
        <v>0</v>
      </c>
      <c r="O140" s="9" t="b">
        <v>0</v>
      </c>
      <c r="P140" s="9" t="b">
        <f t="shared" si="3"/>
        <v>0</v>
      </c>
    </row>
    <row r="141" spans="2:16" x14ac:dyDescent="0.45">
      <c r="B141" s="6"/>
      <c r="C141" s="7"/>
      <c r="D141" s="7"/>
      <c r="E141" s="7"/>
      <c r="F141" s="7"/>
      <c r="G141" s="7"/>
      <c r="H141" s="7"/>
      <c r="I141" s="7"/>
      <c r="J141" s="6"/>
      <c r="M141" s="9" t="s">
        <v>202</v>
      </c>
      <c r="N141" s="9" t="b">
        <v>0</v>
      </c>
      <c r="O141" s="9" t="b">
        <v>0</v>
      </c>
      <c r="P141" s="9" t="b">
        <f t="shared" si="3"/>
        <v>0</v>
      </c>
    </row>
    <row r="142" spans="2:16" x14ac:dyDescent="0.45">
      <c r="B142" s="6"/>
      <c r="C142" s="7"/>
      <c r="D142" s="7"/>
      <c r="E142" s="7"/>
      <c r="F142" s="7"/>
      <c r="G142" s="7"/>
      <c r="H142" s="7"/>
      <c r="I142" s="7"/>
      <c r="J142" s="6"/>
      <c r="M142" s="9" t="s">
        <v>203</v>
      </c>
      <c r="N142" s="9" t="b">
        <v>0</v>
      </c>
      <c r="O142" s="9" t="b">
        <v>0</v>
      </c>
      <c r="P142" s="9" t="b">
        <f t="shared" si="3"/>
        <v>0</v>
      </c>
    </row>
    <row r="143" spans="2:16" x14ac:dyDescent="0.45">
      <c r="B143" s="6"/>
      <c r="C143" s="6"/>
      <c r="D143" s="6"/>
      <c r="E143" s="6"/>
      <c r="F143" s="6"/>
      <c r="G143" s="6"/>
      <c r="H143" s="6"/>
      <c r="I143" s="6"/>
      <c r="J143" s="6"/>
      <c r="M143" s="9" t="s">
        <v>204</v>
      </c>
      <c r="N143" s="9" t="b">
        <v>0</v>
      </c>
      <c r="O143" s="9" t="b">
        <v>0</v>
      </c>
      <c r="P143" s="9" t="b">
        <f t="shared" si="3"/>
        <v>0</v>
      </c>
    </row>
    <row r="144" spans="2:16" x14ac:dyDescent="0.45">
      <c r="B144" s="6"/>
      <c r="C144" s="7"/>
      <c r="D144" s="7"/>
      <c r="E144" s="7"/>
      <c r="F144" s="7"/>
      <c r="G144" s="7"/>
      <c r="H144" s="7"/>
      <c r="I144" s="6"/>
      <c r="J144" s="6"/>
      <c r="M144" s="9" t="s">
        <v>205</v>
      </c>
      <c r="N144" s="9" t="b">
        <v>0</v>
      </c>
      <c r="O144" s="9" t="b">
        <v>0</v>
      </c>
      <c r="P144" s="9" t="b">
        <f t="shared" si="3"/>
        <v>0</v>
      </c>
    </row>
    <row r="145" spans="2:17" x14ac:dyDescent="0.45">
      <c r="B145" s="6"/>
      <c r="C145" s="7"/>
      <c r="D145" s="7"/>
      <c r="E145" s="7"/>
      <c r="F145" s="7"/>
      <c r="G145" s="7"/>
      <c r="H145" s="7"/>
      <c r="I145" s="6"/>
      <c r="J145" s="6"/>
      <c r="M145" s="9" t="s">
        <v>206</v>
      </c>
      <c r="N145" s="9" t="b">
        <v>0</v>
      </c>
      <c r="O145" s="9" t="b">
        <v>0</v>
      </c>
      <c r="P145" s="9" t="b">
        <f t="shared" si="3"/>
        <v>0</v>
      </c>
    </row>
    <row r="146" spans="2:17" x14ac:dyDescent="0.45">
      <c r="B146" s="6"/>
      <c r="C146" s="7"/>
      <c r="D146" s="7"/>
      <c r="E146" s="7"/>
      <c r="F146" s="7"/>
      <c r="G146" s="7"/>
      <c r="H146" s="7"/>
      <c r="I146" s="6"/>
      <c r="J146" s="6"/>
      <c r="M146" s="9" t="s">
        <v>207</v>
      </c>
      <c r="N146" s="9" t="b">
        <v>0</v>
      </c>
      <c r="O146" s="9" t="b">
        <v>0</v>
      </c>
      <c r="P146" s="9" t="b">
        <f t="shared" si="3"/>
        <v>0</v>
      </c>
    </row>
    <row r="147" spans="2:17" x14ac:dyDescent="0.45">
      <c r="B147" s="6"/>
      <c r="C147" s="7"/>
      <c r="D147" s="7"/>
      <c r="E147" s="7"/>
      <c r="F147" s="7"/>
      <c r="G147" s="7"/>
      <c r="H147" s="7"/>
      <c r="I147" s="6"/>
      <c r="J147" s="6"/>
      <c r="M147" s="9" t="s">
        <v>208</v>
      </c>
      <c r="N147" s="9" t="b">
        <v>0</v>
      </c>
      <c r="O147" s="9" t="b">
        <v>0</v>
      </c>
      <c r="P147" s="9" t="b">
        <f t="shared" si="3"/>
        <v>0</v>
      </c>
    </row>
    <row r="148" spans="2:17" x14ac:dyDescent="0.45">
      <c r="B148" s="6"/>
      <c r="C148" s="7"/>
      <c r="D148" s="7"/>
      <c r="E148" s="7"/>
      <c r="F148" s="7"/>
      <c r="G148" s="7"/>
      <c r="H148" s="7"/>
      <c r="I148" s="6"/>
      <c r="J148" s="6"/>
      <c r="M148" s="9" t="s">
        <v>209</v>
      </c>
      <c r="N148" s="9" t="b">
        <v>0</v>
      </c>
      <c r="O148" s="9" t="b">
        <v>0</v>
      </c>
      <c r="P148" s="9" t="b">
        <f t="shared" si="3"/>
        <v>0</v>
      </c>
    </row>
    <row r="149" spans="2:17" x14ac:dyDescent="0.45">
      <c r="B149" s="6"/>
      <c r="C149" s="6"/>
      <c r="D149" s="6"/>
      <c r="E149" s="6"/>
      <c r="F149" s="6"/>
      <c r="G149" s="6"/>
      <c r="H149" s="6"/>
      <c r="I149" s="6"/>
      <c r="J149" s="6"/>
      <c r="M149" s="9" t="s">
        <v>210</v>
      </c>
      <c r="N149" s="9" t="b">
        <v>0</v>
      </c>
      <c r="O149" s="9" t="b">
        <v>0</v>
      </c>
      <c r="P149" s="9" t="b">
        <f t="shared" si="3"/>
        <v>0</v>
      </c>
    </row>
    <row r="150" spans="2:17" x14ac:dyDescent="0.45">
      <c r="B150" s="6"/>
      <c r="C150" s="7"/>
      <c r="D150" s="7"/>
      <c r="E150" s="7"/>
      <c r="F150" s="7"/>
      <c r="G150" s="6"/>
      <c r="H150" s="6"/>
      <c r="I150" s="6"/>
      <c r="J150" s="6"/>
      <c r="M150" s="9" t="s">
        <v>211</v>
      </c>
      <c r="N150" s="9" t="b">
        <v>0</v>
      </c>
      <c r="O150" s="9" t="b">
        <v>0</v>
      </c>
      <c r="P150" s="9" t="b">
        <f t="shared" si="3"/>
        <v>0</v>
      </c>
    </row>
    <row r="151" spans="2:17" x14ac:dyDescent="0.45">
      <c r="B151" s="6"/>
      <c r="C151" s="7"/>
      <c r="D151" s="7"/>
      <c r="E151" s="7"/>
      <c r="F151" s="7"/>
      <c r="G151" s="6"/>
      <c r="H151" s="6"/>
      <c r="I151" s="6"/>
      <c r="J151" s="6"/>
      <c r="M151" s="9" t="s">
        <v>212</v>
      </c>
      <c r="N151" s="9" t="b">
        <v>0</v>
      </c>
      <c r="O151" s="9" t="b">
        <v>0</v>
      </c>
      <c r="P151" s="9" t="b">
        <f t="shared" si="3"/>
        <v>0</v>
      </c>
    </row>
    <row r="152" spans="2:17" x14ac:dyDescent="0.45">
      <c r="B152" s="6"/>
      <c r="C152" s="7"/>
      <c r="D152" s="7"/>
      <c r="E152" s="7"/>
      <c r="F152" s="7"/>
      <c r="G152" s="6"/>
      <c r="H152" s="6"/>
      <c r="I152" s="6"/>
      <c r="J152" s="6"/>
      <c r="M152" s="9" t="s">
        <v>230</v>
      </c>
      <c r="N152" s="9" t="s">
        <v>146</v>
      </c>
      <c r="O152" s="9" t="s">
        <v>146</v>
      </c>
      <c r="P152" s="9" t="str">
        <f>O152</f>
        <v/>
      </c>
    </row>
    <row r="153" spans="2:17" x14ac:dyDescent="0.45">
      <c r="B153" s="6"/>
      <c r="C153" s="6"/>
      <c r="D153" s="6"/>
      <c r="E153" s="6"/>
      <c r="F153" s="6"/>
      <c r="G153" s="6"/>
      <c r="H153" s="6"/>
      <c r="I153" s="6"/>
      <c r="J153" s="6"/>
      <c r="M153" s="9" t="s">
        <v>229</v>
      </c>
      <c r="N153" s="9">
        <v>1</v>
      </c>
      <c r="O153" s="9">
        <v>1</v>
      </c>
      <c r="P153" s="9">
        <f>IFERROR(INDEX(Options!$A$153:$A$159,'VBA Test'!O153),"error result")</f>
        <v>0</v>
      </c>
    </row>
    <row r="154" spans="2:17" x14ac:dyDescent="0.45">
      <c r="B154" s="6"/>
      <c r="C154" s="7"/>
      <c r="D154" s="7"/>
      <c r="E154" s="7"/>
      <c r="F154" s="7"/>
      <c r="G154" s="7"/>
      <c r="H154" s="6"/>
      <c r="I154" s="6"/>
      <c r="J154" s="6"/>
    </row>
    <row r="155" spans="2:17" x14ac:dyDescent="0.45">
      <c r="B155" s="6"/>
      <c r="C155" s="7"/>
      <c r="D155" s="7"/>
      <c r="E155" s="7"/>
      <c r="F155" s="7"/>
      <c r="G155" s="7"/>
      <c r="H155" s="6"/>
      <c r="I155" s="6"/>
      <c r="J155" s="6"/>
      <c r="M155" s="9" t="s">
        <v>231</v>
      </c>
      <c r="N155" s="9">
        <v>1</v>
      </c>
      <c r="O155" s="9">
        <v>1</v>
      </c>
      <c r="P155" s="9">
        <f>IFERROR(INDEX(Options!$A$172:$A$176,'VBA Test'!O155),"error result")</f>
        <v>0</v>
      </c>
      <c r="Q155" s="4">
        <f>IFERROR(VLOOKUP(P155,Options!$A$173:$B$176,2,FALSE),0)</f>
        <v>0</v>
      </c>
    </row>
    <row r="156" spans="2:17" x14ac:dyDescent="0.45">
      <c r="B156" s="6"/>
      <c r="C156" s="7"/>
      <c r="D156" s="7"/>
      <c r="E156" s="7"/>
      <c r="F156" s="7"/>
      <c r="G156" s="7"/>
      <c r="H156" s="6"/>
      <c r="I156" s="6"/>
      <c r="J156" s="6"/>
    </row>
    <row r="157" spans="2:17" x14ac:dyDescent="0.45">
      <c r="B157" s="6"/>
      <c r="C157" s="7"/>
      <c r="D157" s="7"/>
      <c r="E157" s="7"/>
      <c r="F157" s="7"/>
      <c r="G157" s="7"/>
      <c r="H157" s="6"/>
      <c r="I157" s="6"/>
      <c r="J157" s="6"/>
      <c r="M157" s="9" t="s">
        <v>232</v>
      </c>
      <c r="N157" s="9">
        <v>1</v>
      </c>
      <c r="O157" s="9">
        <v>1</v>
      </c>
      <c r="P157" s="9">
        <f>IFERROR(INDEX(Options!$A$178:$A$183,'VBA Test'!O157),"error result")</f>
        <v>0</v>
      </c>
      <c r="Q157" s="4">
        <f>IFERROR(VLOOKUP(P157,Options!$A$179:$B$183,2,FALSE),0)</f>
        <v>0</v>
      </c>
    </row>
    <row r="158" spans="2:17" x14ac:dyDescent="0.45">
      <c r="B158" s="6"/>
      <c r="C158" s="7"/>
      <c r="D158" s="7"/>
      <c r="E158" s="7"/>
      <c r="F158" s="7"/>
      <c r="G158" s="7"/>
      <c r="H158" s="6"/>
      <c r="I158" s="6"/>
      <c r="J158" s="6"/>
    </row>
    <row r="159" spans="2:17" x14ac:dyDescent="0.45">
      <c r="B159" s="6"/>
      <c r="C159" s="7"/>
      <c r="D159" s="7"/>
      <c r="E159" s="7"/>
      <c r="F159" s="7"/>
      <c r="G159" s="7"/>
      <c r="H159" s="6"/>
      <c r="I159" s="6"/>
      <c r="J159" s="6"/>
      <c r="M159" s="9" t="s">
        <v>233</v>
      </c>
      <c r="N159" s="9">
        <v>1</v>
      </c>
      <c r="O159" s="9">
        <v>1</v>
      </c>
      <c r="P159" s="9">
        <f>IFERROR(INDEX(Options!$A$185:$A$191,'VBA Test'!O159),"error result")</f>
        <v>0</v>
      </c>
      <c r="Q159" s="4">
        <f>IFERROR(VLOOKUP(P159,Options!$A$186:$B$191,2,FALSE),0)</f>
        <v>0</v>
      </c>
    </row>
    <row r="160" spans="2:17" x14ac:dyDescent="0.45">
      <c r="B160" s="6"/>
      <c r="C160" s="7"/>
      <c r="D160" s="7"/>
      <c r="E160" s="7"/>
      <c r="F160" s="7"/>
      <c r="G160" s="7"/>
      <c r="H160" s="6"/>
      <c r="I160" s="6"/>
      <c r="J160" s="6"/>
    </row>
    <row r="161" spans="2:16" x14ac:dyDescent="0.45">
      <c r="B161" s="6"/>
      <c r="C161" s="7"/>
      <c r="D161" s="7"/>
      <c r="E161" s="7">
        <f>SUM(Q155,Q157,Q159)</f>
        <v>0</v>
      </c>
      <c r="F161" s="8" t="str">
        <f>IF(E161=0,"",IF(E161&gt;=Options!$A$193,Options!$B$193,IF(E161&gt;=Options!$A$194,Options!$B$194,Options!$B$195)))</f>
        <v/>
      </c>
      <c r="G161" s="7"/>
      <c r="H161" s="6"/>
      <c r="I161" s="6"/>
      <c r="J161" s="6"/>
      <c r="M161" s="9" t="s">
        <v>234</v>
      </c>
      <c r="P161" s="9">
        <f>O161</f>
        <v>0</v>
      </c>
    </row>
    <row r="162" spans="2:16" x14ac:dyDescent="0.45">
      <c r="B162" s="6"/>
      <c r="C162" s="7"/>
      <c r="D162" s="7"/>
      <c r="E162" s="7"/>
      <c r="F162" s="7"/>
      <c r="G162" s="7"/>
      <c r="H162" s="6"/>
      <c r="I162" s="6"/>
      <c r="J162" s="6"/>
      <c r="M162" s="9" t="s">
        <v>235</v>
      </c>
      <c r="P162" s="9">
        <f>IF(O162="",0)</f>
        <v>0</v>
      </c>
    </row>
    <row r="163" spans="2:16" x14ac:dyDescent="0.45">
      <c r="B163" s="6"/>
      <c r="C163" s="7"/>
      <c r="D163" s="7"/>
      <c r="E163" s="7"/>
      <c r="F163" s="7"/>
      <c r="G163" s="7"/>
      <c r="H163" s="6"/>
      <c r="I163" s="6"/>
      <c r="J163" s="6"/>
      <c r="M163" s="9" t="s">
        <v>246</v>
      </c>
      <c r="N163" s="9">
        <v>1</v>
      </c>
      <c r="O163" s="9">
        <v>1</v>
      </c>
      <c r="P163" s="9">
        <f>IFERROR(INDEX(Options!A280:A287,'VBA Test'!O163),"error result")</f>
        <v>0</v>
      </c>
    </row>
    <row r="164" spans="2:16" x14ac:dyDescent="0.45">
      <c r="B164" s="6"/>
      <c r="C164" s="7"/>
      <c r="D164" s="7"/>
      <c r="E164" s="7"/>
      <c r="F164" s="7"/>
      <c r="G164" s="7"/>
      <c r="H164" s="6"/>
      <c r="I164" s="6"/>
      <c r="J164" s="6"/>
    </row>
    <row r="165" spans="2:16" x14ac:dyDescent="0.45">
      <c r="B165" s="6"/>
      <c r="C165" s="6"/>
      <c r="D165" s="6"/>
      <c r="E165" s="6"/>
      <c r="F165" s="6"/>
      <c r="G165" s="6"/>
      <c r="H165" s="6"/>
      <c r="I165" s="6"/>
      <c r="J165" s="6"/>
    </row>
    <row r="166" spans="2:16" x14ac:dyDescent="0.45">
      <c r="B166" s="6"/>
      <c r="C166" s="7"/>
      <c r="D166" s="7"/>
      <c r="E166" s="7"/>
      <c r="F166" s="7"/>
      <c r="G166" s="7"/>
      <c r="H166" s="7"/>
      <c r="I166" s="7"/>
      <c r="J166" s="6"/>
    </row>
    <row r="167" spans="2:16" x14ac:dyDescent="0.45">
      <c r="B167" s="6"/>
      <c r="C167" s="7"/>
      <c r="D167" s="7"/>
      <c r="E167" s="7"/>
      <c r="F167" s="7"/>
      <c r="G167" s="7"/>
      <c r="H167" s="7"/>
      <c r="I167" s="7"/>
      <c r="J167" s="6"/>
      <c r="M167" s="9" t="s">
        <v>236</v>
      </c>
      <c r="N167" s="9">
        <v>1</v>
      </c>
      <c r="O167" s="9">
        <v>1</v>
      </c>
      <c r="P167" s="9" cm="1">
        <f t="array" ref="P167">INDEX(Options!$A$216:$A$220,'VBA Test'!O167)</f>
        <v>0</v>
      </c>
    </row>
    <row r="168" spans="2:16" x14ac:dyDescent="0.45">
      <c r="B168" s="6"/>
      <c r="C168" s="7"/>
      <c r="D168" s="7"/>
      <c r="E168" s="7"/>
      <c r="F168" s="7"/>
      <c r="G168" s="7"/>
      <c r="H168" s="7"/>
      <c r="I168" s="7"/>
      <c r="J168" s="6"/>
    </row>
    <row r="169" spans="2:16" x14ac:dyDescent="0.45">
      <c r="B169" s="6"/>
      <c r="C169" s="7"/>
      <c r="D169" s="7"/>
      <c r="E169" s="7"/>
      <c r="F169" s="7"/>
      <c r="G169" s="7"/>
      <c r="H169" s="7"/>
      <c r="I169" s="7"/>
      <c r="J169" s="6"/>
      <c r="M169" s="9" t="s">
        <v>237</v>
      </c>
      <c r="N169" s="9">
        <v>1</v>
      </c>
      <c r="O169" s="9">
        <v>1</v>
      </c>
      <c r="P169" s="9" cm="1">
        <f t="array" ref="P169">INDEX(Options!$A$222:$A$226,O169)</f>
        <v>0</v>
      </c>
    </row>
    <row r="170" spans="2:16" x14ac:dyDescent="0.45">
      <c r="B170" s="6"/>
      <c r="C170" s="7"/>
      <c r="D170" s="7"/>
      <c r="E170" s="7"/>
      <c r="F170" s="7"/>
      <c r="G170" s="7"/>
      <c r="H170" s="7"/>
      <c r="I170" s="7"/>
      <c r="J170" s="6"/>
    </row>
    <row r="171" spans="2:16" x14ac:dyDescent="0.45">
      <c r="B171" s="6"/>
      <c r="C171" s="7"/>
      <c r="D171" s="7"/>
      <c r="E171" s="7"/>
      <c r="F171" s="7"/>
      <c r="G171" s="7"/>
      <c r="H171" s="7"/>
      <c r="I171" s="7"/>
      <c r="J171" s="6"/>
      <c r="M171" s="9" t="s">
        <v>238</v>
      </c>
      <c r="N171" s="9">
        <v>1</v>
      </c>
      <c r="O171" s="9">
        <v>1</v>
      </c>
      <c r="P171" s="9" cm="1">
        <f t="array" ref="P171">INDEX(Options!$A$228:$A$231,'VBA Test'!O171)</f>
        <v>0</v>
      </c>
    </row>
    <row r="172" spans="2:16" x14ac:dyDescent="0.45">
      <c r="B172" s="6"/>
      <c r="C172" s="7"/>
      <c r="D172" s="7"/>
      <c r="E172" s="7"/>
      <c r="F172" s="7"/>
      <c r="G172" s="7"/>
      <c r="H172" s="7"/>
      <c r="I172" s="7"/>
      <c r="J172" s="6"/>
    </row>
    <row r="173" spans="2:16" x14ac:dyDescent="0.45">
      <c r="B173" s="6"/>
      <c r="C173" s="6"/>
      <c r="D173" s="6"/>
      <c r="E173" s="6"/>
      <c r="F173" s="6"/>
      <c r="G173" s="6"/>
      <c r="H173" s="6"/>
      <c r="I173" s="6"/>
      <c r="J173" s="6"/>
    </row>
    <row r="174" spans="2:16" x14ac:dyDescent="0.45">
      <c r="B174" s="6"/>
      <c r="C174" s="7"/>
      <c r="D174" s="7"/>
      <c r="E174" s="7"/>
      <c r="F174" s="6"/>
      <c r="G174" s="6"/>
      <c r="H174" s="6"/>
      <c r="I174" s="6"/>
      <c r="J174" s="6"/>
    </row>
    <row r="175" spans="2:16" x14ac:dyDescent="0.45">
      <c r="B175" s="6"/>
      <c r="C175" s="7"/>
      <c r="D175" s="7"/>
      <c r="E175" s="7"/>
      <c r="F175" s="6"/>
      <c r="G175" s="6"/>
      <c r="H175" s="6"/>
      <c r="I175" s="6"/>
      <c r="J175" s="6"/>
      <c r="M175" s="9" t="s">
        <v>239</v>
      </c>
      <c r="N175" s="9" t="b">
        <v>0</v>
      </c>
      <c r="O175" s="9" t="b">
        <v>0</v>
      </c>
      <c r="P175" s="9" t="b">
        <f>O175</f>
        <v>0</v>
      </c>
    </row>
    <row r="176" spans="2:16" x14ac:dyDescent="0.45">
      <c r="B176" s="6"/>
      <c r="C176" s="7"/>
      <c r="D176" s="7"/>
      <c r="E176" s="7"/>
      <c r="F176" s="6"/>
      <c r="G176" s="6"/>
      <c r="H176" s="6"/>
      <c r="I176" s="6"/>
      <c r="J176" s="6"/>
      <c r="M176" s="9" t="s">
        <v>240</v>
      </c>
      <c r="N176" s="9" t="b">
        <v>0</v>
      </c>
      <c r="O176" s="9" t="b">
        <v>0</v>
      </c>
      <c r="P176" s="9" t="b">
        <f t="shared" ref="P176:P178" si="4">O176</f>
        <v>0</v>
      </c>
    </row>
    <row r="177" spans="2:16" x14ac:dyDescent="0.45">
      <c r="B177" s="6"/>
      <c r="C177" s="7"/>
      <c r="D177" s="7"/>
      <c r="E177" s="7"/>
      <c r="F177" s="6"/>
      <c r="G177" s="6"/>
      <c r="H177" s="6"/>
      <c r="I177" s="6"/>
      <c r="J177" s="6"/>
      <c r="M177" s="9" t="s">
        <v>241</v>
      </c>
      <c r="N177" s="9" t="b">
        <v>0</v>
      </c>
      <c r="O177" s="9" t="b">
        <v>0</v>
      </c>
      <c r="P177" s="9" t="b">
        <f t="shared" si="4"/>
        <v>0</v>
      </c>
    </row>
    <row r="178" spans="2:16" x14ac:dyDescent="0.45">
      <c r="B178" s="6"/>
      <c r="C178" s="7"/>
      <c r="D178" s="7"/>
      <c r="E178" s="7"/>
      <c r="F178" s="6"/>
      <c r="G178" s="6"/>
      <c r="H178" s="6"/>
      <c r="I178" s="6"/>
      <c r="J178" s="6"/>
      <c r="M178" s="9" t="s">
        <v>242</v>
      </c>
      <c r="N178" s="9" t="b">
        <v>0</v>
      </c>
      <c r="O178" s="9" t="b">
        <v>0</v>
      </c>
      <c r="P178" s="9" t="b">
        <f t="shared" si="4"/>
        <v>0</v>
      </c>
    </row>
    <row r="179" spans="2:16" x14ac:dyDescent="0.45">
      <c r="B179" s="6"/>
      <c r="C179" s="7"/>
      <c r="D179" s="7"/>
      <c r="E179" s="7"/>
      <c r="F179" s="6"/>
      <c r="G179" s="6"/>
      <c r="H179" s="6"/>
      <c r="I179" s="6"/>
      <c r="J179" s="6"/>
    </row>
    <row r="180" spans="2:16" x14ac:dyDescent="0.45">
      <c r="B180" s="6"/>
      <c r="C180" s="7"/>
      <c r="D180" s="7"/>
      <c r="E180" s="7">
        <f>COUNTIF(O175:O178,TRUE)</f>
        <v>0</v>
      </c>
      <c r="F180" s="6"/>
      <c r="G180" s="6"/>
      <c r="H180" s="6"/>
      <c r="I180" s="6"/>
      <c r="J180" s="6"/>
      <c r="M180" s="9" t="s">
        <v>243</v>
      </c>
      <c r="P180" s="9">
        <f>E180</f>
        <v>0</v>
      </c>
    </row>
    <row r="181" spans="2:16" x14ac:dyDescent="0.45">
      <c r="B181" s="6"/>
      <c r="C181" s="6"/>
      <c r="D181" s="6"/>
      <c r="E181" s="6"/>
      <c r="F181" s="6"/>
      <c r="G181" s="6"/>
      <c r="H181" s="6"/>
      <c r="I181" s="6"/>
      <c r="J181" s="6"/>
    </row>
    <row r="183" spans="2:16" x14ac:dyDescent="0.45">
      <c r="B183" s="6"/>
      <c r="C183" s="6"/>
      <c r="D183" s="6"/>
      <c r="E183" s="6"/>
      <c r="F183" s="6"/>
    </row>
    <row r="184" spans="2:16" x14ac:dyDescent="0.45">
      <c r="B184" s="6"/>
      <c r="C184" s="6"/>
      <c r="D184" s="6"/>
      <c r="E184" s="6"/>
      <c r="F184" s="6"/>
    </row>
    <row r="185" spans="2:16" x14ac:dyDescent="0.45">
      <c r="B185" s="6"/>
      <c r="C185" s="6"/>
      <c r="D185" s="6"/>
      <c r="E185" s="6"/>
      <c r="F185" s="6"/>
    </row>
    <row r="186" spans="2:16" x14ac:dyDescent="0.45">
      <c r="M186" s="9" t="s">
        <v>152</v>
      </c>
      <c r="N186" s="9">
        <v>1</v>
      </c>
      <c r="O186" s="9">
        <v>1</v>
      </c>
      <c r="P186" s="9">
        <f>INDEX(Options!A296:A298,'VBA Test'!O186)</f>
        <v>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282" r:id="rId4" name="TextBox1">
          <controlPr defaultSize="0" autoLine="0" linkedCell="O50" r:id="rId5">
            <anchor moveWithCells="1">
              <from>
                <xdr:col>2</xdr:col>
                <xdr:colOff>104775</xdr:colOff>
                <xdr:row>36</xdr:row>
                <xdr:rowOff>19050</xdr:rowOff>
              </from>
              <to>
                <xdr:col>7</xdr:col>
                <xdr:colOff>290513</xdr:colOff>
                <xdr:row>39</xdr:row>
                <xdr:rowOff>47625</xdr:rowOff>
              </to>
            </anchor>
          </controlPr>
        </control>
      </mc:Choice>
      <mc:Fallback>
        <control shapeId="7282" r:id="rId4" name="TextBox1"/>
      </mc:Fallback>
    </mc:AlternateContent>
    <mc:AlternateContent xmlns:mc="http://schemas.openxmlformats.org/markup-compatibility/2006">
      <mc:Choice Requires="x14">
        <control shapeId="7283" r:id="rId6" name="TextBox2">
          <controlPr defaultSize="0" autoLine="0" linkedCell="O51" r:id="rId7">
            <anchor moveWithCells="1">
              <from>
                <xdr:col>2</xdr:col>
                <xdr:colOff>104775</xdr:colOff>
                <xdr:row>42</xdr:row>
                <xdr:rowOff>9525</xdr:rowOff>
              </from>
              <to>
                <xdr:col>7</xdr:col>
                <xdr:colOff>290513</xdr:colOff>
                <xdr:row>45</xdr:row>
                <xdr:rowOff>38100</xdr:rowOff>
              </to>
            </anchor>
          </controlPr>
        </control>
      </mc:Choice>
      <mc:Fallback>
        <control shapeId="7283" r:id="rId6" name="TextBox2"/>
      </mc:Fallback>
    </mc:AlternateContent>
    <mc:AlternateContent xmlns:mc="http://schemas.openxmlformats.org/markup-compatibility/2006">
      <mc:Choice Requires="x14">
        <control shapeId="7284" r:id="rId8" name="TextBox3">
          <controlPr defaultSize="0" autoLine="0" linkedCell="O84" r:id="rId9">
            <anchor moveWithCells="1">
              <from>
                <xdr:col>4</xdr:col>
                <xdr:colOff>0</xdr:colOff>
                <xdr:row>83</xdr:row>
                <xdr:rowOff>9525</xdr:rowOff>
              </from>
              <to>
                <xdr:col>6</xdr:col>
                <xdr:colOff>523875</xdr:colOff>
                <xdr:row>86</xdr:row>
                <xdr:rowOff>38100</xdr:rowOff>
              </to>
            </anchor>
          </controlPr>
        </control>
      </mc:Choice>
      <mc:Fallback>
        <control shapeId="7284" r:id="rId8" name="TextBox3"/>
      </mc:Fallback>
    </mc:AlternateContent>
    <mc:AlternateContent xmlns:mc="http://schemas.openxmlformats.org/markup-compatibility/2006">
      <mc:Choice Requires="x14">
        <control shapeId="7285" r:id="rId10" name="TextBox4">
          <controlPr defaultSize="0" autoLine="0" autoPict="0" linkedCell="O116" r:id="rId11">
            <anchor moveWithCells="1">
              <from>
                <xdr:col>2</xdr:col>
                <xdr:colOff>0</xdr:colOff>
                <xdr:row>114</xdr:row>
                <xdr:rowOff>180975</xdr:rowOff>
              </from>
              <to>
                <xdr:col>8</xdr:col>
                <xdr:colOff>0</xdr:colOff>
                <xdr:row>118</xdr:row>
                <xdr:rowOff>180975</xdr:rowOff>
              </to>
            </anchor>
          </controlPr>
        </control>
      </mc:Choice>
      <mc:Fallback>
        <control shapeId="7285" r:id="rId10" name="TextBox4"/>
      </mc:Fallback>
    </mc:AlternateContent>
    <mc:AlternateContent xmlns:mc="http://schemas.openxmlformats.org/markup-compatibility/2006">
      <mc:Choice Requires="x14">
        <control shapeId="7286" r:id="rId12" name="TextBox5">
          <controlPr defaultSize="0" autoLine="0" autoPict="0" linkedCell="O122" r:id="rId13">
            <anchor moveWithCells="1">
              <from>
                <xdr:col>2</xdr:col>
                <xdr:colOff>0</xdr:colOff>
                <xdr:row>120</xdr:row>
                <xdr:rowOff>180975</xdr:rowOff>
              </from>
              <to>
                <xdr:col>8</xdr:col>
                <xdr:colOff>0</xdr:colOff>
                <xdr:row>125</xdr:row>
                <xdr:rowOff>180975</xdr:rowOff>
              </to>
            </anchor>
          </controlPr>
        </control>
      </mc:Choice>
      <mc:Fallback>
        <control shapeId="7286" r:id="rId12" name="TextBox5"/>
      </mc:Fallback>
    </mc:AlternateContent>
    <mc:AlternateContent xmlns:mc="http://schemas.openxmlformats.org/markup-compatibility/2006">
      <mc:Choice Requires="x14">
        <control shapeId="7301" r:id="rId14" name="TextBox6">
          <controlPr defaultSize="0" autoLine="0" linkedCell="O90" r:id="rId15">
            <anchor moveWithCells="1">
              <from>
                <xdr:col>4</xdr:col>
                <xdr:colOff>0</xdr:colOff>
                <xdr:row>89</xdr:row>
                <xdr:rowOff>9525</xdr:rowOff>
              </from>
              <to>
                <xdr:col>6</xdr:col>
                <xdr:colOff>523875</xdr:colOff>
                <xdr:row>91</xdr:row>
                <xdr:rowOff>28575</xdr:rowOff>
              </to>
            </anchor>
          </controlPr>
        </control>
      </mc:Choice>
      <mc:Fallback>
        <control shapeId="7301" r:id="rId14" name="TextBox6"/>
      </mc:Fallback>
    </mc:AlternateContent>
    <mc:AlternateContent xmlns:mc="http://schemas.openxmlformats.org/markup-compatibility/2006">
      <mc:Choice Requires="x14">
        <control shapeId="7351" r:id="rId16" name="TextBox7">
          <controlPr defaultSize="0" autoLine="0" linkedCell="O152" r:id="rId17">
            <anchor moveWithCells="1">
              <from>
                <xdr:col>2</xdr:col>
                <xdr:colOff>104775</xdr:colOff>
                <xdr:row>144</xdr:row>
                <xdr:rowOff>0</xdr:rowOff>
              </from>
              <to>
                <xdr:col>7</xdr:col>
                <xdr:colOff>290513</xdr:colOff>
                <xdr:row>147</xdr:row>
                <xdr:rowOff>28575</xdr:rowOff>
              </to>
            </anchor>
          </controlPr>
        </control>
      </mc:Choice>
      <mc:Fallback>
        <control shapeId="7351" r:id="rId16" name="TextBox7"/>
      </mc:Fallback>
    </mc:AlternateContent>
    <mc:AlternateContent xmlns:mc="http://schemas.openxmlformats.org/markup-compatibility/2006">
      <mc:Choice Requires="x14">
        <control shapeId="7378" r:id="rId18" name="TextBox8">
          <controlPr locked="0" defaultSize="0" autoLine="0" autoPict="0" linkedCell="O9" r:id="rId19">
            <anchor moveWithCells="1">
              <from>
                <xdr:col>3</xdr:col>
                <xdr:colOff>0</xdr:colOff>
                <xdr:row>8</xdr:row>
                <xdr:rowOff>0</xdr:rowOff>
              </from>
              <to>
                <xdr:col>4</xdr:col>
                <xdr:colOff>0</xdr:colOff>
                <xdr:row>9</xdr:row>
                <xdr:rowOff>38100</xdr:rowOff>
              </to>
            </anchor>
          </controlPr>
        </control>
      </mc:Choice>
      <mc:Fallback>
        <control shapeId="7378" r:id="rId18" name="TextBox8"/>
      </mc:Fallback>
    </mc:AlternateContent>
    <mc:AlternateContent xmlns:mc="http://schemas.openxmlformats.org/markup-compatibility/2006">
      <mc:Choice Requires="x14">
        <control shapeId="7379" r:id="rId20" name="TextBox9">
          <controlPr defaultSize="0" autoLine="0" linkedCell="O111" r:id="rId21">
            <anchor moveWithCells="1">
              <from>
                <xdr:col>3</xdr:col>
                <xdr:colOff>600075</xdr:colOff>
                <xdr:row>109</xdr:row>
                <xdr:rowOff>152400</xdr:rowOff>
              </from>
              <to>
                <xdr:col>4</xdr:col>
                <xdr:colOff>557213</xdr:colOff>
                <xdr:row>111</xdr:row>
                <xdr:rowOff>66675</xdr:rowOff>
              </to>
            </anchor>
          </controlPr>
        </control>
      </mc:Choice>
      <mc:Fallback>
        <control shapeId="7379" r:id="rId20" name="TextBox9"/>
      </mc:Fallback>
    </mc:AlternateContent>
    <mc:AlternateContent xmlns:mc="http://schemas.openxmlformats.org/markup-compatibility/2006">
      <mc:Choice Requires="x14">
        <control shapeId="7380" r:id="rId22" name="TextBox10">
          <controlPr defaultSize="0" autoLine="0" linkedCell="O113" r:id="rId23">
            <anchor moveWithCells="1">
              <from>
                <xdr:col>4</xdr:col>
                <xdr:colOff>0</xdr:colOff>
                <xdr:row>111</xdr:row>
                <xdr:rowOff>114300</xdr:rowOff>
              </from>
              <to>
                <xdr:col>4</xdr:col>
                <xdr:colOff>609600</xdr:colOff>
                <xdr:row>113</xdr:row>
                <xdr:rowOff>38100</xdr:rowOff>
              </to>
            </anchor>
          </controlPr>
        </control>
      </mc:Choice>
      <mc:Fallback>
        <control shapeId="7380" r:id="rId22" name="TextBox10"/>
      </mc:Fallback>
    </mc:AlternateContent>
    <mc:AlternateContent xmlns:mc="http://schemas.openxmlformats.org/markup-compatibility/2006">
      <mc:Choice Requires="x14">
        <control shapeId="7382" r:id="rId24" name="TextBox11">
          <controlPr defaultSize="0" autoLine="0" linkedCell="O114" r:id="rId25">
            <anchor moveWithCells="1">
              <from>
                <xdr:col>6</xdr:col>
                <xdr:colOff>0</xdr:colOff>
                <xdr:row>111</xdr:row>
                <xdr:rowOff>114300</xdr:rowOff>
              </from>
              <to>
                <xdr:col>6</xdr:col>
                <xdr:colOff>609600</xdr:colOff>
                <xdr:row>113</xdr:row>
                <xdr:rowOff>38100</xdr:rowOff>
              </to>
            </anchor>
          </controlPr>
        </control>
      </mc:Choice>
      <mc:Fallback>
        <control shapeId="7382" r:id="rId24" name="TextBox11"/>
      </mc:Fallback>
    </mc:AlternateContent>
    <mc:AlternateContent xmlns:mc="http://schemas.openxmlformats.org/markup-compatibility/2006">
      <mc:Choice Requires="x14">
        <control shapeId="7173" r:id="rId26" name="Group Box 5">
          <controlPr defaultSize="0" autoFill="0" autoPict="0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5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74" r:id="rId27" name="Option Button 6">
          <controlPr locked="0" defaultSize="0" autoFill="0" autoLine="0" autoPict="0">
            <anchor moveWithCells="1">
              <from>
                <xdr:col>2</xdr:col>
                <xdr:colOff>123825</xdr:colOff>
                <xdr:row>4</xdr:row>
                <xdr:rowOff>0</xdr:rowOff>
              </from>
              <to>
                <xdr:col>3</xdr:col>
                <xdr:colOff>0</xdr:colOff>
                <xdr:row>5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77" r:id="rId28" name="Option Button 9">
          <controlPr locked="0" defaultSize="0" autoFill="0" autoLine="0" autoPict="0">
            <anchor moveWithCells="1">
              <from>
                <xdr:col>4</xdr:col>
                <xdr:colOff>0</xdr:colOff>
                <xdr:row>4</xdr:row>
                <xdr:rowOff>0</xdr:rowOff>
              </from>
              <to>
                <xdr:col>4</xdr:col>
                <xdr:colOff>485775</xdr:colOff>
                <xdr:row>5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80" r:id="rId29" name="Group Box 12">
          <controlPr defaultSize="0" autoFill="0" autoPict="0">
            <anchor moveWithCells="1">
              <from>
                <xdr:col>2</xdr:col>
                <xdr:colOff>0</xdr:colOff>
                <xdr:row>11</xdr:row>
                <xdr:rowOff>0</xdr:rowOff>
              </from>
              <to>
                <xdr:col>6</xdr:col>
                <xdr:colOff>0</xdr:colOff>
                <xdr:row>14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81" r:id="rId30" name="Drop Down 13">
          <controlPr locked="0" defaultSize="0" autoLine="0" autoPict="0">
            <anchor moveWithCells="1">
              <from>
                <xdr:col>3</xdr:col>
                <xdr:colOff>0</xdr:colOff>
                <xdr:row>12</xdr:row>
                <xdr:rowOff>0</xdr:rowOff>
              </from>
              <to>
                <xdr:col>5</xdr:col>
                <xdr:colOff>0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82" r:id="rId31" name="Group Box 14">
          <controlPr defaultSize="0" autoFill="0" autoPict="0">
            <anchor moveWithCells="1">
              <from>
                <xdr:col>2</xdr:col>
                <xdr:colOff>0</xdr:colOff>
                <xdr:row>15</xdr:row>
                <xdr:rowOff>0</xdr:rowOff>
              </from>
              <to>
                <xdr:col>6</xdr:col>
                <xdr:colOff>0</xdr:colOff>
                <xdr:row>18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83" r:id="rId32" name="Drop Down 15">
          <controlPr locked="0" defaultSize="0" autoLine="0" autoPict="0">
            <anchor moveWithCells="1">
              <from>
                <xdr:col>2</xdr:col>
                <xdr:colOff>409575</xdr:colOff>
                <xdr:row>15</xdr:row>
                <xdr:rowOff>190500</xdr:rowOff>
              </from>
              <to>
                <xdr:col>5</xdr:col>
                <xdr:colOff>200025</xdr:colOff>
                <xdr:row>16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85" r:id="rId33" name="Group Box 17">
          <controlPr defaultSize="0" autoFill="0" autoPict="0">
            <anchor moveWithCells="1">
              <from>
                <xdr:col>2</xdr:col>
                <xdr:colOff>0</xdr:colOff>
                <xdr:row>47</xdr:row>
                <xdr:rowOff>0</xdr:rowOff>
              </from>
              <to>
                <xdr:col>6</xdr:col>
                <xdr:colOff>0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87" r:id="rId34" name="Drop Down 19">
          <controlPr defaultSize="0" autoLine="0" autoPict="0">
            <anchor moveWithCells="1">
              <from>
                <xdr:col>2</xdr:col>
                <xdr:colOff>285750</xdr:colOff>
                <xdr:row>48</xdr:row>
                <xdr:rowOff>0</xdr:rowOff>
              </from>
              <to>
                <xdr:col>5</xdr:col>
                <xdr:colOff>66675</xdr:colOff>
                <xdr:row>49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88" r:id="rId35" name="Group Box 20">
          <controlPr defaultSize="0" autoFill="0" autoPict="0">
            <anchor moveWithCells="1">
              <from>
                <xdr:col>2</xdr:col>
                <xdr:colOff>0</xdr:colOff>
                <xdr:row>35</xdr:row>
                <xdr:rowOff>0</xdr:rowOff>
              </from>
              <to>
                <xdr:col>8</xdr:col>
                <xdr:colOff>0</xdr:colOff>
                <xdr:row>40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91" r:id="rId36" name="Label 23">
          <controlPr defaultSize="0" autoFill="0" autoLine="0" autoPict="0">
            <anchor moveWithCells="1">
              <from>
                <xdr:col>2</xdr:col>
                <xdr:colOff>0</xdr:colOff>
                <xdr:row>52</xdr:row>
                <xdr:rowOff>0</xdr:rowOff>
              </from>
              <to>
                <xdr:col>3</xdr:col>
                <xdr:colOff>400050</xdr:colOff>
                <xdr:row>53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92" r:id="rId37" name="Label 24">
          <controlPr defaultSize="0" autoFill="0" autoLine="0" autoPict="0">
            <anchor moveWithCells="1" sizeWithCells="1">
              <from>
                <xdr:col>2</xdr:col>
                <xdr:colOff>0</xdr:colOff>
                <xdr:row>54</xdr:row>
                <xdr:rowOff>0</xdr:rowOff>
              </from>
              <to>
                <xdr:col>3</xdr:col>
                <xdr:colOff>0</xdr:colOff>
                <xdr:row>55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93" r:id="rId38" name="Label 25">
          <controlPr defaultSize="0" autoFill="0" autoLine="0" autoPict="0">
            <anchor moveWithCells="1">
              <from>
                <xdr:col>2</xdr:col>
                <xdr:colOff>0</xdr:colOff>
                <xdr:row>56</xdr:row>
                <xdr:rowOff>0</xdr:rowOff>
              </from>
              <to>
                <xdr:col>3</xdr:col>
                <xdr:colOff>400050</xdr:colOff>
                <xdr:row>57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94" r:id="rId39" name="Drop Down 26">
          <controlPr defaultSize="0" autoLine="0" autoPict="0">
            <anchor moveWithCells="1">
              <from>
                <xdr:col>4</xdr:col>
                <xdr:colOff>0</xdr:colOff>
                <xdr:row>52</xdr:row>
                <xdr:rowOff>0</xdr:rowOff>
              </from>
              <to>
                <xdr:col>6</xdr:col>
                <xdr:colOff>0</xdr:colOff>
                <xdr:row>53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95" r:id="rId40" name="Drop Down 27">
          <controlPr defaultSize="0" autoLine="0" autoPict="0">
            <anchor moveWithCells="1">
              <from>
                <xdr:col>4</xdr:col>
                <xdr:colOff>0</xdr:colOff>
                <xdr:row>53</xdr:row>
                <xdr:rowOff>180975</xdr:rowOff>
              </from>
              <to>
                <xdr:col>6</xdr:col>
                <xdr:colOff>0</xdr:colOff>
                <xdr:row>55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96" r:id="rId41" name="Drop Down 28">
          <controlPr defaultSize="0" autoLine="0" autoPict="0">
            <anchor moveWithCells="1">
              <from>
                <xdr:col>4</xdr:col>
                <xdr:colOff>0</xdr:colOff>
                <xdr:row>55</xdr:row>
                <xdr:rowOff>180975</xdr:rowOff>
              </from>
              <to>
                <xdr:col>6</xdr:col>
                <xdr:colOff>0</xdr:colOff>
                <xdr:row>57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98" r:id="rId42" name="Group Box 30">
          <controlPr defaultSize="0" autoFill="0" autoPict="0">
            <anchor moveWithCells="1">
              <from>
                <xdr:col>2</xdr:col>
                <xdr:colOff>0</xdr:colOff>
                <xdr:row>41</xdr:row>
                <xdr:rowOff>0</xdr:rowOff>
              </from>
              <to>
                <xdr:col>8</xdr:col>
                <xdr:colOff>0</xdr:colOff>
                <xdr:row>46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00" r:id="rId43" name="Label 32">
          <controlPr defaultSize="0" autoFill="0" autoLine="0" autoPict="0">
            <anchor moveWithCells="1">
              <from>
                <xdr:col>2</xdr:col>
                <xdr:colOff>0</xdr:colOff>
                <xdr:row>63</xdr:row>
                <xdr:rowOff>0</xdr:rowOff>
              </from>
              <to>
                <xdr:col>3</xdr:col>
                <xdr:colOff>400050</xdr:colOff>
                <xdr:row>64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01" r:id="rId44" name="Label 33">
          <controlPr defaultSize="0" autoFill="0" autoLine="0" autoPict="0">
            <anchor moveWithCells="1" sizeWithCells="1">
              <from>
                <xdr:col>2</xdr:col>
                <xdr:colOff>0</xdr:colOff>
                <xdr:row>65</xdr:row>
                <xdr:rowOff>9525</xdr:rowOff>
              </from>
              <to>
                <xdr:col>3</xdr:col>
                <xdr:colOff>0</xdr:colOff>
                <xdr:row>66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02" r:id="rId45" name="Label 34">
          <controlPr defaultSize="0" autoFill="0" autoLine="0" autoPict="0">
            <anchor moveWithCells="1">
              <from>
                <xdr:col>2</xdr:col>
                <xdr:colOff>0</xdr:colOff>
                <xdr:row>67</xdr:row>
                <xdr:rowOff>0</xdr:rowOff>
              </from>
              <to>
                <xdr:col>3</xdr:col>
                <xdr:colOff>400050</xdr:colOff>
                <xdr:row>68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03" r:id="rId46" name="Drop Down 35">
          <controlPr defaultSize="0" autoLine="0" autoPict="0">
            <anchor moveWithCells="1">
              <from>
                <xdr:col>3</xdr:col>
                <xdr:colOff>0</xdr:colOff>
                <xdr:row>63</xdr:row>
                <xdr:rowOff>0</xdr:rowOff>
              </from>
              <to>
                <xdr:col>8</xdr:col>
                <xdr:colOff>0</xdr:colOff>
                <xdr:row>64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05" r:id="rId47" name="Drop Down 37">
          <controlPr defaultSize="0" autoLine="0" autoPict="0">
            <anchor moveWithCells="1">
              <from>
                <xdr:col>3</xdr:col>
                <xdr:colOff>0</xdr:colOff>
                <xdr:row>66</xdr:row>
                <xdr:rowOff>180975</xdr:rowOff>
              </from>
              <to>
                <xdr:col>8</xdr:col>
                <xdr:colOff>0</xdr:colOff>
                <xdr:row>68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08" r:id="rId48" name="Check Box 40">
          <controlPr defaultSize="0" autoFill="0" autoLine="0" autoPict="0">
            <anchor moveWithCells="1">
              <from>
                <xdr:col>2</xdr:col>
                <xdr:colOff>0</xdr:colOff>
                <xdr:row>71</xdr:row>
                <xdr:rowOff>0</xdr:rowOff>
              </from>
              <to>
                <xdr:col>3</xdr:col>
                <xdr:colOff>400050</xdr:colOff>
                <xdr:row>72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09" r:id="rId49" name="Check Box 41">
          <controlPr defaultSize="0" autoFill="0" autoLine="0" autoPict="0">
            <anchor moveWithCells="1">
              <from>
                <xdr:col>2</xdr:col>
                <xdr:colOff>0</xdr:colOff>
                <xdr:row>72</xdr:row>
                <xdr:rowOff>0</xdr:rowOff>
              </from>
              <to>
                <xdr:col>3</xdr:col>
                <xdr:colOff>200025</xdr:colOff>
                <xdr:row>73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10" r:id="rId50" name="Check Box 42">
          <controlPr defaultSize="0" autoFill="0" autoLine="0" autoPict="0">
            <anchor moveWithCells="1">
              <from>
                <xdr:col>2</xdr:col>
                <xdr:colOff>0</xdr:colOff>
                <xdr:row>73</xdr:row>
                <xdr:rowOff>0</xdr:rowOff>
              </from>
              <to>
                <xdr:col>3</xdr:col>
                <xdr:colOff>400050</xdr:colOff>
                <xdr:row>74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11" r:id="rId51" name="Check Box 43">
          <controlPr defaultSize="0" autoFill="0" autoLine="0" autoPict="0">
            <anchor moveWithCells="1">
              <from>
                <xdr:col>2</xdr:col>
                <xdr:colOff>0</xdr:colOff>
                <xdr:row>74</xdr:row>
                <xdr:rowOff>0</xdr:rowOff>
              </from>
              <to>
                <xdr:col>3</xdr:col>
                <xdr:colOff>400050</xdr:colOff>
                <xdr:row>75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13" r:id="rId52" name="Label 45">
          <controlPr defaultSize="0" autoFill="0" autoLine="0" autoPict="0">
            <anchor moveWithCells="1" sizeWithCells="1">
              <from>
                <xdr:col>2</xdr:col>
                <xdr:colOff>0</xdr:colOff>
                <xdr:row>76</xdr:row>
                <xdr:rowOff>0</xdr:rowOff>
              </from>
              <to>
                <xdr:col>3</xdr:col>
                <xdr:colOff>0</xdr:colOff>
                <xdr:row>77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14" r:id="rId53" name="Group Box 46">
          <controlPr defaultSize="0" autoFill="0" autoPict="0">
            <anchor moveWithCells="1">
              <from>
                <xdr:col>2</xdr:col>
                <xdr:colOff>0</xdr:colOff>
                <xdr:row>22</xdr:row>
                <xdr:rowOff>0</xdr:rowOff>
              </from>
              <to>
                <xdr:col>9</xdr:col>
                <xdr:colOff>0</xdr:colOff>
                <xdr:row>34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16" r:id="rId54" name="Check Box 48">
          <controlPr defaultSize="0" autoFill="0" autoLine="0" autoPict="0">
            <anchor moveWithCells="1">
              <from>
                <xdr:col>2</xdr:col>
                <xdr:colOff>0</xdr:colOff>
                <xdr:row>23</xdr:row>
                <xdr:rowOff>0</xdr:rowOff>
              </from>
              <to>
                <xdr:col>3</xdr:col>
                <xdr:colOff>581025</xdr:colOff>
                <xdr:row>24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17" r:id="rId55" name="Check Box 49">
          <controlPr defaultSize="0" autoFill="0" autoLine="0" autoPict="0">
            <anchor moveWithCells="1">
              <from>
                <xdr:col>2</xdr:col>
                <xdr:colOff>0</xdr:colOff>
                <xdr:row>24</xdr:row>
                <xdr:rowOff>0</xdr:rowOff>
              </from>
              <to>
                <xdr:col>3</xdr:col>
                <xdr:colOff>581025</xdr:colOff>
                <xdr:row>25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18" r:id="rId56" name="Check Box 50">
          <controlPr defaultSize="0" autoFill="0" autoLine="0" autoPict="0">
            <anchor moveWithCells="1">
              <from>
                <xdr:col>2</xdr:col>
                <xdr:colOff>0</xdr:colOff>
                <xdr:row>24</xdr:row>
                <xdr:rowOff>180975</xdr:rowOff>
              </from>
              <to>
                <xdr:col>3</xdr:col>
                <xdr:colOff>581025</xdr:colOff>
                <xdr:row>26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19" r:id="rId57" name="Check Box 51">
          <controlPr defaultSize="0" autoFill="0" autoLine="0" autoPict="0">
            <anchor moveWithCells="1">
              <from>
                <xdr:col>2</xdr:col>
                <xdr:colOff>0</xdr:colOff>
                <xdr:row>25</xdr:row>
                <xdr:rowOff>180975</xdr:rowOff>
              </from>
              <to>
                <xdr:col>3</xdr:col>
                <xdr:colOff>581025</xdr:colOff>
                <xdr:row>27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20" r:id="rId58" name="Check Box 52">
          <controlPr defaultSize="0" autoFill="0" autoLine="0" autoPict="0">
            <anchor moveWithCells="1">
              <from>
                <xdr:col>2</xdr:col>
                <xdr:colOff>0</xdr:colOff>
                <xdr:row>26</xdr:row>
                <xdr:rowOff>180975</xdr:rowOff>
              </from>
              <to>
                <xdr:col>3</xdr:col>
                <xdr:colOff>581025</xdr:colOff>
                <xdr:row>28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21" r:id="rId59" name="Check Box 53">
          <controlPr defaultSize="0" autoFill="0" autoLine="0" autoPict="0">
            <anchor moveWithCells="1">
              <from>
                <xdr:col>2</xdr:col>
                <xdr:colOff>0</xdr:colOff>
                <xdr:row>27</xdr:row>
                <xdr:rowOff>171450</xdr:rowOff>
              </from>
              <to>
                <xdr:col>3</xdr:col>
                <xdr:colOff>581025</xdr:colOff>
                <xdr:row>29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22" r:id="rId60" name="Check Box 54">
          <controlPr defaultSize="0" autoFill="0" autoLine="0" autoPict="0">
            <anchor moveWithCells="1">
              <from>
                <xdr:col>2</xdr:col>
                <xdr:colOff>0</xdr:colOff>
                <xdr:row>28</xdr:row>
                <xdr:rowOff>171450</xdr:rowOff>
              </from>
              <to>
                <xdr:col>3</xdr:col>
                <xdr:colOff>581025</xdr:colOff>
                <xdr:row>30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23" r:id="rId61" name="Check Box 55">
          <controlPr defaultSize="0" autoFill="0" autoLine="0" autoPict="0">
            <anchor moveWithCells="1">
              <from>
                <xdr:col>2</xdr:col>
                <xdr:colOff>0</xdr:colOff>
                <xdr:row>29</xdr:row>
                <xdr:rowOff>171450</xdr:rowOff>
              </from>
              <to>
                <xdr:col>3</xdr:col>
                <xdr:colOff>581025</xdr:colOff>
                <xdr:row>31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24" r:id="rId62" name="Check Box 56">
          <controlPr defaultSize="0" autoFill="0" autoLine="0" autoPict="0">
            <anchor moveWithCells="1">
              <from>
                <xdr:col>2</xdr:col>
                <xdr:colOff>0</xdr:colOff>
                <xdr:row>30</xdr:row>
                <xdr:rowOff>161925</xdr:rowOff>
              </from>
              <to>
                <xdr:col>3</xdr:col>
                <xdr:colOff>581025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25" r:id="rId63" name="Check Box 57">
          <controlPr defaultSize="0" autoFill="0" autoLine="0" autoPict="0">
            <anchor moveWithCells="1">
              <from>
                <xdr:col>2</xdr:col>
                <xdr:colOff>0</xdr:colOff>
                <xdr:row>31</xdr:row>
                <xdr:rowOff>161925</xdr:rowOff>
              </from>
              <to>
                <xdr:col>3</xdr:col>
                <xdr:colOff>581025</xdr:colOff>
                <xdr:row>33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26" r:id="rId64" name="Check Box 58">
          <controlPr defaultSize="0" autoFill="0" autoLine="0" autoPict="0">
            <anchor moveWithCells="1">
              <from>
                <xdr:col>4</xdr:col>
                <xdr:colOff>152400</xdr:colOff>
                <xdr:row>23</xdr:row>
                <xdr:rowOff>0</xdr:rowOff>
              </from>
              <to>
                <xdr:col>6</xdr:col>
                <xdr:colOff>114300</xdr:colOff>
                <xdr:row>24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27" r:id="rId65" name="Check Box 59">
          <controlPr defaultSize="0" autoFill="0" autoLine="0" autoPict="0">
            <anchor moveWithCells="1">
              <from>
                <xdr:col>4</xdr:col>
                <xdr:colOff>152400</xdr:colOff>
                <xdr:row>24</xdr:row>
                <xdr:rowOff>0</xdr:rowOff>
              </from>
              <to>
                <xdr:col>6</xdr:col>
                <xdr:colOff>114300</xdr:colOff>
                <xdr:row>25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28" r:id="rId66" name="Check Box 60">
          <controlPr defaultSize="0" autoFill="0" autoLine="0" autoPict="0">
            <anchor moveWithCells="1">
              <from>
                <xdr:col>4</xdr:col>
                <xdr:colOff>152400</xdr:colOff>
                <xdr:row>24</xdr:row>
                <xdr:rowOff>180975</xdr:rowOff>
              </from>
              <to>
                <xdr:col>6</xdr:col>
                <xdr:colOff>114300</xdr:colOff>
                <xdr:row>26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29" r:id="rId67" name="Check Box 61">
          <controlPr defaultSize="0" autoFill="0" autoLine="0" autoPict="0">
            <anchor moveWithCells="1">
              <from>
                <xdr:col>4</xdr:col>
                <xdr:colOff>152400</xdr:colOff>
                <xdr:row>25</xdr:row>
                <xdr:rowOff>180975</xdr:rowOff>
              </from>
              <to>
                <xdr:col>6</xdr:col>
                <xdr:colOff>114300</xdr:colOff>
                <xdr:row>27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30" r:id="rId68" name="Check Box 62">
          <controlPr defaultSize="0" autoFill="0" autoLine="0" autoPict="0">
            <anchor moveWithCells="1">
              <from>
                <xdr:col>4</xdr:col>
                <xdr:colOff>152400</xdr:colOff>
                <xdr:row>26</xdr:row>
                <xdr:rowOff>180975</xdr:rowOff>
              </from>
              <to>
                <xdr:col>6</xdr:col>
                <xdr:colOff>114300</xdr:colOff>
                <xdr:row>28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31" r:id="rId69" name="Check Box 63">
          <controlPr defaultSize="0" autoFill="0" autoLine="0" autoPict="0">
            <anchor moveWithCells="1">
              <from>
                <xdr:col>4</xdr:col>
                <xdr:colOff>152400</xdr:colOff>
                <xdr:row>27</xdr:row>
                <xdr:rowOff>171450</xdr:rowOff>
              </from>
              <to>
                <xdr:col>6</xdr:col>
                <xdr:colOff>114300</xdr:colOff>
                <xdr:row>29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32" r:id="rId70" name="Check Box 64">
          <controlPr defaultSize="0" autoFill="0" autoLine="0" autoPict="0">
            <anchor moveWithCells="1">
              <from>
                <xdr:col>4</xdr:col>
                <xdr:colOff>152400</xdr:colOff>
                <xdr:row>28</xdr:row>
                <xdr:rowOff>171450</xdr:rowOff>
              </from>
              <to>
                <xdr:col>6</xdr:col>
                <xdr:colOff>114300</xdr:colOff>
                <xdr:row>30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33" r:id="rId71" name="Check Box 65">
          <controlPr defaultSize="0" autoFill="0" autoLine="0" autoPict="0">
            <anchor moveWithCells="1">
              <from>
                <xdr:col>4</xdr:col>
                <xdr:colOff>152400</xdr:colOff>
                <xdr:row>29</xdr:row>
                <xdr:rowOff>171450</xdr:rowOff>
              </from>
              <to>
                <xdr:col>6</xdr:col>
                <xdr:colOff>114300</xdr:colOff>
                <xdr:row>31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34" r:id="rId72" name="Check Box 66">
          <controlPr defaultSize="0" autoFill="0" autoLine="0" autoPict="0">
            <anchor moveWithCells="1">
              <from>
                <xdr:col>4</xdr:col>
                <xdr:colOff>152400</xdr:colOff>
                <xdr:row>30</xdr:row>
                <xdr:rowOff>161925</xdr:rowOff>
              </from>
              <to>
                <xdr:col>6</xdr:col>
                <xdr:colOff>114300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35" r:id="rId73" name="Check Box 67">
          <controlPr defaultSize="0" autoFill="0" autoLine="0" autoPict="0">
            <anchor moveWithCells="1">
              <from>
                <xdr:col>4</xdr:col>
                <xdr:colOff>152400</xdr:colOff>
                <xdr:row>31</xdr:row>
                <xdr:rowOff>161925</xdr:rowOff>
              </from>
              <to>
                <xdr:col>6</xdr:col>
                <xdr:colOff>114300</xdr:colOff>
                <xdr:row>33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36" r:id="rId74" name="Check Box 68">
          <controlPr defaultSize="0" autoFill="0" autoLine="0" autoPict="0">
            <anchor moveWithCells="1">
              <from>
                <xdr:col>6</xdr:col>
                <xdr:colOff>228600</xdr:colOff>
                <xdr:row>23</xdr:row>
                <xdr:rowOff>0</xdr:rowOff>
              </from>
              <to>
                <xdr:col>9</xdr:col>
                <xdr:colOff>0</xdr:colOff>
                <xdr:row>24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39" r:id="rId75" name="Check Box 71">
          <controlPr defaultSize="0" autoFill="0" autoLine="0" autoPict="0">
            <anchor moveWithCells="1">
              <from>
                <xdr:col>6</xdr:col>
                <xdr:colOff>228600</xdr:colOff>
                <xdr:row>23</xdr:row>
                <xdr:rowOff>180975</xdr:rowOff>
              </from>
              <to>
                <xdr:col>9</xdr:col>
                <xdr:colOff>0</xdr:colOff>
                <xdr:row>25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40" r:id="rId76" name="Check Box 72">
          <controlPr defaultSize="0" autoFill="0" autoLine="0" autoPict="0">
            <anchor moveWithCells="1">
              <from>
                <xdr:col>6</xdr:col>
                <xdr:colOff>228600</xdr:colOff>
                <xdr:row>24</xdr:row>
                <xdr:rowOff>180975</xdr:rowOff>
              </from>
              <to>
                <xdr:col>8</xdr:col>
                <xdr:colOff>200025</xdr:colOff>
                <xdr:row>26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41" r:id="rId77" name="Check Box 73">
          <controlPr defaultSize="0" autoFill="0" autoLine="0" autoPict="0">
            <anchor moveWithCells="1">
              <from>
                <xdr:col>6</xdr:col>
                <xdr:colOff>228600</xdr:colOff>
                <xdr:row>25</xdr:row>
                <xdr:rowOff>171450</xdr:rowOff>
              </from>
              <to>
                <xdr:col>8</xdr:col>
                <xdr:colOff>200025</xdr:colOff>
                <xdr:row>27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42" r:id="rId78" name="Check Box 74">
          <controlPr defaultSize="0" autoFill="0" autoLine="0" autoPict="0">
            <anchor moveWithCells="1">
              <from>
                <xdr:col>6</xdr:col>
                <xdr:colOff>228600</xdr:colOff>
                <xdr:row>26</xdr:row>
                <xdr:rowOff>171450</xdr:rowOff>
              </from>
              <to>
                <xdr:col>8</xdr:col>
                <xdr:colOff>200025</xdr:colOff>
                <xdr:row>28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43" r:id="rId79" name="Check Box 75">
          <controlPr defaultSize="0" autoFill="0" autoLine="0" autoPict="0">
            <anchor moveWithCells="1">
              <from>
                <xdr:col>6</xdr:col>
                <xdr:colOff>228600</xdr:colOff>
                <xdr:row>27</xdr:row>
                <xdr:rowOff>161925</xdr:rowOff>
              </from>
              <to>
                <xdr:col>8</xdr:col>
                <xdr:colOff>200025</xdr:colOff>
                <xdr:row>29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44" r:id="rId80" name="Check Box 76">
          <controlPr defaultSize="0" autoFill="0" autoLine="0" autoPict="0">
            <anchor moveWithCells="1">
              <from>
                <xdr:col>6</xdr:col>
                <xdr:colOff>228600</xdr:colOff>
                <xdr:row>28</xdr:row>
                <xdr:rowOff>161925</xdr:rowOff>
              </from>
              <to>
                <xdr:col>8</xdr:col>
                <xdr:colOff>200025</xdr:colOff>
                <xdr:row>30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99" r:id="rId81" name="Group Box 31">
          <controlPr defaultSize="0" autoFill="0" autoPict="0">
            <anchor moveWithCells="1">
              <from>
                <xdr:col>2</xdr:col>
                <xdr:colOff>0</xdr:colOff>
                <xdr:row>62</xdr:row>
                <xdr:rowOff>0</xdr:rowOff>
              </from>
              <to>
                <xdr:col>9</xdr:col>
                <xdr:colOff>0</xdr:colOff>
                <xdr:row>68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04" r:id="rId82" name="Drop Down 36">
          <controlPr defaultSize="0" autoLine="0" autoPict="0">
            <anchor moveWithCells="1">
              <from>
                <xdr:col>3</xdr:col>
                <xdr:colOff>0</xdr:colOff>
                <xdr:row>64</xdr:row>
                <xdr:rowOff>180975</xdr:rowOff>
              </from>
              <to>
                <xdr:col>8</xdr:col>
                <xdr:colOff>0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45" r:id="rId83" name="Group Box 77">
          <controlPr defaultSize="0" autoFill="0" autoPict="0">
            <anchor moveWithCells="1">
              <from>
                <xdr:col>2</xdr:col>
                <xdr:colOff>0</xdr:colOff>
                <xdr:row>80</xdr:row>
                <xdr:rowOff>0</xdr:rowOff>
              </from>
              <to>
                <xdr:col>8</xdr:col>
                <xdr:colOff>0</xdr:colOff>
                <xdr:row>100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46" r:id="rId84" name="Label 78">
          <controlPr defaultSize="0" autoFill="0" autoLine="0" autoPict="0">
            <anchor moveWithCells="1" sizeWithCells="1">
              <from>
                <xdr:col>1</xdr:col>
                <xdr:colOff>609600</xdr:colOff>
                <xdr:row>81</xdr:row>
                <xdr:rowOff>0</xdr:rowOff>
              </from>
              <to>
                <xdr:col>2</xdr:col>
                <xdr:colOff>609600</xdr:colOff>
                <xdr:row>82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47" r:id="rId85" name="Drop Down 79">
          <controlPr defaultSize="0" autoLine="0" autoPict="0">
            <anchor moveWithCells="1">
              <from>
                <xdr:col>4</xdr:col>
                <xdr:colOff>0</xdr:colOff>
                <xdr:row>81</xdr:row>
                <xdr:rowOff>0</xdr:rowOff>
              </from>
              <to>
                <xdr:col>7</xdr:col>
                <xdr:colOff>0</xdr:colOff>
                <xdr:row>82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48" r:id="rId86" name="Label 80">
          <controlPr defaultSize="0" autoFill="0" autoLine="0" autoPict="0">
            <anchor moveWithCells="1" sizeWithCells="1">
              <from>
                <xdr:col>1</xdr:col>
                <xdr:colOff>609600</xdr:colOff>
                <xdr:row>82</xdr:row>
                <xdr:rowOff>180975</xdr:rowOff>
              </from>
              <to>
                <xdr:col>2</xdr:col>
                <xdr:colOff>609600</xdr:colOff>
                <xdr:row>83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49" r:id="rId87" name="Label 81">
          <controlPr defaultSize="0" autoFill="0" autoLine="0" autoPict="0">
            <anchor moveWithCells="1" sizeWithCells="1">
              <from>
                <xdr:col>1</xdr:col>
                <xdr:colOff>609600</xdr:colOff>
                <xdr:row>86</xdr:row>
                <xdr:rowOff>180975</xdr:rowOff>
              </from>
              <to>
                <xdr:col>2</xdr:col>
                <xdr:colOff>609600</xdr:colOff>
                <xdr:row>87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50" r:id="rId88" name="Drop Down 82">
          <controlPr defaultSize="0" autoLine="0" autoPict="0">
            <anchor moveWithCells="1">
              <from>
                <xdr:col>4</xdr:col>
                <xdr:colOff>0</xdr:colOff>
                <xdr:row>87</xdr:row>
                <xdr:rowOff>0</xdr:rowOff>
              </from>
              <to>
                <xdr:col>7</xdr:col>
                <xdr:colOff>0</xdr:colOff>
                <xdr:row>88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51" r:id="rId89" name="Label 83">
          <controlPr defaultSize="0" autoFill="0" autoLine="0" autoPict="0">
            <anchor moveWithCells="1" sizeWithCells="1">
              <from>
                <xdr:col>1</xdr:col>
                <xdr:colOff>609600</xdr:colOff>
                <xdr:row>91</xdr:row>
                <xdr:rowOff>180975</xdr:rowOff>
              </from>
              <to>
                <xdr:col>3</xdr:col>
                <xdr:colOff>476250</xdr:colOff>
                <xdr:row>93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52" r:id="rId90" name="Drop Down 84">
          <controlPr defaultSize="0" autoLine="0" autoPict="0">
            <anchor moveWithCells="1">
              <from>
                <xdr:col>4</xdr:col>
                <xdr:colOff>0</xdr:colOff>
                <xdr:row>92</xdr:row>
                <xdr:rowOff>0</xdr:rowOff>
              </from>
              <to>
                <xdr:col>7</xdr:col>
                <xdr:colOff>0</xdr:colOff>
                <xdr:row>93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53" r:id="rId91" name="Label 85">
          <controlPr defaultSize="0" autoFill="0" autoLine="0" autoPict="0">
            <anchor moveWithCells="1" sizeWithCells="1">
              <from>
                <xdr:col>1</xdr:col>
                <xdr:colOff>609600</xdr:colOff>
                <xdr:row>93</xdr:row>
                <xdr:rowOff>180975</xdr:rowOff>
              </from>
              <to>
                <xdr:col>2</xdr:col>
                <xdr:colOff>609600</xdr:colOff>
                <xdr:row>94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54" r:id="rId92" name="Drop Down 86">
          <controlPr defaultSize="0" autoLine="0" autoPict="0">
            <anchor moveWithCells="1">
              <from>
                <xdr:col>4</xdr:col>
                <xdr:colOff>0</xdr:colOff>
                <xdr:row>94</xdr:row>
                <xdr:rowOff>0</xdr:rowOff>
              </from>
              <to>
                <xdr:col>7</xdr:col>
                <xdr:colOff>0</xdr:colOff>
                <xdr:row>95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55" r:id="rId93" name="Label 87">
          <controlPr defaultSize="0" autoFill="0" autoLine="0" autoPict="0">
            <anchor moveWithCells="1" sizeWithCells="1">
              <from>
                <xdr:col>1</xdr:col>
                <xdr:colOff>609600</xdr:colOff>
                <xdr:row>95</xdr:row>
                <xdr:rowOff>180975</xdr:rowOff>
              </from>
              <to>
                <xdr:col>2</xdr:col>
                <xdr:colOff>609600</xdr:colOff>
                <xdr:row>96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56" r:id="rId94" name="Drop Down 88">
          <controlPr defaultSize="0" autoLine="0" autoPict="0">
            <anchor moveWithCells="1">
              <from>
                <xdr:col>4</xdr:col>
                <xdr:colOff>0</xdr:colOff>
                <xdr:row>96</xdr:row>
                <xdr:rowOff>0</xdr:rowOff>
              </from>
              <to>
                <xdr:col>7</xdr:col>
                <xdr:colOff>0</xdr:colOff>
                <xdr:row>97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57" r:id="rId95" name="Label 89">
          <controlPr defaultSize="0" autoFill="0" autoLine="0" autoPict="0">
            <anchor moveWithCells="1" sizeWithCells="1">
              <from>
                <xdr:col>1</xdr:col>
                <xdr:colOff>609600</xdr:colOff>
                <xdr:row>98</xdr:row>
                <xdr:rowOff>9525</xdr:rowOff>
              </from>
              <to>
                <xdr:col>3</xdr:col>
                <xdr:colOff>400050</xdr:colOff>
                <xdr:row>99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58" r:id="rId96" name="Drop Down 90">
          <controlPr defaultSize="0" autoLine="0" autoPict="0">
            <anchor moveWithCells="1">
              <from>
                <xdr:col>4</xdr:col>
                <xdr:colOff>0</xdr:colOff>
                <xdr:row>98</xdr:row>
                <xdr:rowOff>0</xdr:rowOff>
              </from>
              <to>
                <xdr:col>7</xdr:col>
                <xdr:colOff>0</xdr:colOff>
                <xdr:row>99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59" r:id="rId97" name="Label 91">
          <controlPr defaultSize="0" autoFill="0" autoLine="0" autoPict="0">
            <anchor moveWithCells="1" sizeWithCells="1">
              <from>
                <xdr:col>2</xdr:col>
                <xdr:colOff>0</xdr:colOff>
                <xdr:row>59</xdr:row>
                <xdr:rowOff>171450</xdr:rowOff>
              </from>
              <to>
                <xdr:col>3</xdr:col>
                <xdr:colOff>438150</xdr:colOff>
                <xdr:row>60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60" r:id="rId98" name="Drop Down 92">
          <controlPr defaultSize="0" autoLine="0" autoPict="0">
            <anchor moveWithCells="1">
              <from>
                <xdr:col>3</xdr:col>
                <xdr:colOff>600075</xdr:colOff>
                <xdr:row>59</xdr:row>
                <xdr:rowOff>180975</xdr:rowOff>
              </from>
              <to>
                <xdr:col>6</xdr:col>
                <xdr:colOff>0</xdr:colOff>
                <xdr:row>61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61" r:id="rId99" name="Group Box 93">
          <controlPr defaultSize="0" autoFill="0" autoPict="0">
            <anchor moveWithCells="1">
              <from>
                <xdr:col>2</xdr:col>
                <xdr:colOff>0</xdr:colOff>
                <xdr:row>101</xdr:row>
                <xdr:rowOff>0</xdr:rowOff>
              </from>
              <to>
                <xdr:col>7</xdr:col>
                <xdr:colOff>0</xdr:colOff>
                <xdr:row>108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62" r:id="rId100" name="Check Box 94">
          <controlPr defaultSize="0" autoFill="0" autoLine="0" autoPict="0">
            <anchor moveWithCells="1">
              <from>
                <xdr:col>2</xdr:col>
                <xdr:colOff>0</xdr:colOff>
                <xdr:row>102</xdr:row>
                <xdr:rowOff>0</xdr:rowOff>
              </from>
              <to>
                <xdr:col>6</xdr:col>
                <xdr:colOff>361950</xdr:colOff>
                <xdr:row>103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63" r:id="rId101" name="Check Box 95">
          <controlPr defaultSize="0" autoFill="0" autoLine="0" autoPict="0">
            <anchor moveWithCells="1">
              <from>
                <xdr:col>2</xdr:col>
                <xdr:colOff>0</xdr:colOff>
                <xdr:row>103</xdr:row>
                <xdr:rowOff>0</xdr:rowOff>
              </from>
              <to>
                <xdr:col>6</xdr:col>
                <xdr:colOff>361950</xdr:colOff>
                <xdr:row>104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64" r:id="rId102" name="Check Box 96">
          <controlPr defaultSize="0" autoFill="0" autoLine="0" autoPict="0">
            <anchor moveWithCells="1">
              <from>
                <xdr:col>2</xdr:col>
                <xdr:colOff>0</xdr:colOff>
                <xdr:row>104</xdr:row>
                <xdr:rowOff>19050</xdr:rowOff>
              </from>
              <to>
                <xdr:col>6</xdr:col>
                <xdr:colOff>361950</xdr:colOff>
                <xdr:row>105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65" r:id="rId103" name="Check Box 97">
          <controlPr defaultSize="0" autoFill="0" autoLine="0" autoPict="0">
            <anchor moveWithCells="1">
              <from>
                <xdr:col>2</xdr:col>
                <xdr:colOff>0</xdr:colOff>
                <xdr:row>105</xdr:row>
                <xdr:rowOff>0</xdr:rowOff>
              </from>
              <to>
                <xdr:col>6</xdr:col>
                <xdr:colOff>361950</xdr:colOff>
                <xdr:row>106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66" r:id="rId104" name="Check Box 98">
          <controlPr defaultSize="0" autoFill="0" autoLine="0" autoPict="0">
            <anchor moveWithCells="1">
              <from>
                <xdr:col>2</xdr:col>
                <xdr:colOff>0</xdr:colOff>
                <xdr:row>106</xdr:row>
                <xdr:rowOff>0</xdr:rowOff>
              </from>
              <to>
                <xdr:col>6</xdr:col>
                <xdr:colOff>361950</xdr:colOff>
                <xdr:row>107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0" r:id="rId105" name="Label 112">
          <controlPr defaultSize="0" autoFill="0" autoLine="0" autoPict="0">
            <anchor moveWithCells="1" sizeWithCells="1">
              <from>
                <xdr:col>2</xdr:col>
                <xdr:colOff>0</xdr:colOff>
                <xdr:row>113</xdr:row>
                <xdr:rowOff>180975</xdr:rowOff>
              </from>
              <to>
                <xdr:col>4</xdr:col>
                <xdr:colOff>0</xdr:colOff>
                <xdr:row>114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8" r:id="rId106" name="Button 120">
          <controlPr defaultSize="0" print="0" autoFill="0" autoPict="0" macro="[0]!CreateRecord">
            <anchor moveWithCells="1" sizeWithCells="1">
              <from>
                <xdr:col>2</xdr:col>
                <xdr:colOff>0</xdr:colOff>
                <xdr:row>186</xdr:row>
                <xdr:rowOff>0</xdr:rowOff>
              </from>
              <to>
                <xdr:col>4</xdr:col>
                <xdr:colOff>0</xdr:colOff>
                <xdr:row>189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96" r:id="rId107" name="Label 128">
          <controlPr defaultSize="0" autoFill="0" autoLine="0" autoPict="0">
            <anchor moveWithCells="1" sizeWithCells="1">
              <from>
                <xdr:col>2</xdr:col>
                <xdr:colOff>0</xdr:colOff>
                <xdr:row>119</xdr:row>
                <xdr:rowOff>180975</xdr:rowOff>
              </from>
              <to>
                <xdr:col>3</xdr:col>
                <xdr:colOff>0</xdr:colOff>
                <xdr:row>120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97" r:id="rId108" name="Label 29">
          <controlPr defaultSize="0" autoFill="0" autoLine="0" autoPict="0">
            <anchor moveWithCells="1">
              <from>
                <xdr:col>2</xdr:col>
                <xdr:colOff>0</xdr:colOff>
                <xdr:row>58</xdr:row>
                <xdr:rowOff>0</xdr:rowOff>
              </from>
              <to>
                <xdr:col>3</xdr:col>
                <xdr:colOff>400050</xdr:colOff>
                <xdr:row>59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06" r:id="rId109" name="Group Box 38">
          <controlPr defaultSize="0" autoFill="0" autoPict="0">
            <anchor moveWithCells="1">
              <from>
                <xdr:col>2</xdr:col>
                <xdr:colOff>0</xdr:colOff>
                <xdr:row>70</xdr:row>
                <xdr:rowOff>0</xdr:rowOff>
              </from>
              <to>
                <xdr:col>5</xdr:col>
                <xdr:colOff>0</xdr:colOff>
                <xdr:row>77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78" r:id="rId110" name="Label 110">
          <controlPr defaultSize="0" autoFill="0" autoLine="0" autoPict="0">
            <anchor moveWithCells="1" sizeWithCells="1">
              <from>
                <xdr:col>5</xdr:col>
                <xdr:colOff>57150</xdr:colOff>
                <xdr:row>112</xdr:row>
                <xdr:rowOff>19050</xdr:rowOff>
              </from>
              <to>
                <xdr:col>5</xdr:col>
                <xdr:colOff>352425</xdr:colOff>
                <xdr:row>113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98" r:id="rId111" name="Group Box 130">
          <controlPr defaultSize="0" autoFill="0" autoPict="0">
            <anchor moveWithCells="1">
              <from>
                <xdr:col>0</xdr:col>
                <xdr:colOff>652463</xdr:colOff>
                <xdr:row>182</xdr:row>
                <xdr:rowOff>0</xdr:rowOff>
              </from>
              <to>
                <xdr:col>6</xdr:col>
                <xdr:colOff>0</xdr:colOff>
                <xdr:row>184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99" r:id="rId112" name="Drop Down 131">
          <controlPr defaultSize="0" autoLine="0" autoPict="0">
            <anchor moveWithCells="1">
              <from>
                <xdr:col>1</xdr:col>
                <xdr:colOff>419100</xdr:colOff>
                <xdr:row>183</xdr:row>
                <xdr:rowOff>0</xdr:rowOff>
              </from>
              <to>
                <xdr:col>5</xdr:col>
                <xdr:colOff>419100</xdr:colOff>
                <xdr:row>184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00" r:id="rId113" name="Label 132">
          <controlPr defaultSize="0" autoFill="0" autoLine="0" autoPict="0">
            <anchor moveWithCells="1" sizeWithCells="1">
              <from>
                <xdr:col>2</xdr:col>
                <xdr:colOff>0</xdr:colOff>
                <xdr:row>89</xdr:row>
                <xdr:rowOff>0</xdr:rowOff>
              </from>
              <to>
                <xdr:col>3</xdr:col>
                <xdr:colOff>409575</xdr:colOff>
                <xdr:row>90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02" r:id="rId114" name="Group Box 134">
          <controlPr defaultSize="0" autoFill="0" autoPict="0">
            <anchor moveWithCells="1">
              <from>
                <xdr:col>2</xdr:col>
                <xdr:colOff>0</xdr:colOff>
                <xdr:row>149</xdr:row>
                <xdr:rowOff>0</xdr:rowOff>
              </from>
              <to>
                <xdr:col>6</xdr:col>
                <xdr:colOff>0</xdr:colOff>
                <xdr:row>152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03" r:id="rId115" name="Drop Down 135">
          <controlPr defaultSize="0" autoLine="0" autoPict="0">
            <anchor moveWithCells="1">
              <from>
                <xdr:col>2</xdr:col>
                <xdr:colOff>285750</xdr:colOff>
                <xdr:row>150</xdr:row>
                <xdr:rowOff>0</xdr:rowOff>
              </from>
              <to>
                <xdr:col>5</xdr:col>
                <xdr:colOff>66675</xdr:colOff>
                <xdr:row>151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04" r:id="rId116" name="Group Box 136">
          <controlPr defaultSize="0" autoFill="0" autoPict="0">
            <anchor moveWithCells="1">
              <from>
                <xdr:col>2</xdr:col>
                <xdr:colOff>0</xdr:colOff>
                <xdr:row>143</xdr:row>
                <xdr:rowOff>0</xdr:rowOff>
              </from>
              <to>
                <xdr:col>8</xdr:col>
                <xdr:colOff>0</xdr:colOff>
                <xdr:row>148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05" r:id="rId117" name="Label 137">
          <controlPr defaultSize="0" autoFill="0" autoLine="0" autoPict="0">
            <anchor moveWithCells="1">
              <from>
                <xdr:col>2</xdr:col>
                <xdr:colOff>0</xdr:colOff>
                <xdr:row>154</xdr:row>
                <xdr:rowOff>0</xdr:rowOff>
              </from>
              <to>
                <xdr:col>3</xdr:col>
                <xdr:colOff>400050</xdr:colOff>
                <xdr:row>155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06" r:id="rId118" name="Label 138">
          <controlPr defaultSize="0" autoFill="0" autoLine="0" autoPict="0">
            <anchor moveWithCells="1" sizeWithCells="1">
              <from>
                <xdr:col>2</xdr:col>
                <xdr:colOff>0</xdr:colOff>
                <xdr:row>156</xdr:row>
                <xdr:rowOff>0</xdr:rowOff>
              </from>
              <to>
                <xdr:col>3</xdr:col>
                <xdr:colOff>0</xdr:colOff>
                <xdr:row>157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07" r:id="rId119" name="Label 139">
          <controlPr defaultSize="0" autoFill="0" autoLine="0" autoPict="0">
            <anchor moveWithCells="1">
              <from>
                <xdr:col>2</xdr:col>
                <xdr:colOff>0</xdr:colOff>
                <xdr:row>158</xdr:row>
                <xdr:rowOff>0</xdr:rowOff>
              </from>
              <to>
                <xdr:col>3</xdr:col>
                <xdr:colOff>400050</xdr:colOff>
                <xdr:row>159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08" r:id="rId120" name="Drop Down 140">
          <controlPr defaultSize="0" autoLine="0" autoPict="0">
            <anchor moveWithCells="1">
              <from>
                <xdr:col>4</xdr:col>
                <xdr:colOff>0</xdr:colOff>
                <xdr:row>154</xdr:row>
                <xdr:rowOff>0</xdr:rowOff>
              </from>
              <to>
                <xdr:col>6</xdr:col>
                <xdr:colOff>0</xdr:colOff>
                <xdr:row>155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09" r:id="rId121" name="Drop Down 141">
          <controlPr defaultSize="0" autoLine="0" autoPict="0">
            <anchor moveWithCells="1">
              <from>
                <xdr:col>4</xdr:col>
                <xdr:colOff>0</xdr:colOff>
                <xdr:row>155</xdr:row>
                <xdr:rowOff>180975</xdr:rowOff>
              </from>
              <to>
                <xdr:col>6</xdr:col>
                <xdr:colOff>0</xdr:colOff>
                <xdr:row>157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10" r:id="rId122" name="Drop Down 142">
          <controlPr defaultSize="0" autoLine="0" autoPict="0">
            <anchor moveWithCells="1">
              <from>
                <xdr:col>4</xdr:col>
                <xdr:colOff>0</xdr:colOff>
                <xdr:row>157</xdr:row>
                <xdr:rowOff>180975</xdr:rowOff>
              </from>
              <to>
                <xdr:col>6</xdr:col>
                <xdr:colOff>0</xdr:colOff>
                <xdr:row>159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14" r:id="rId123" name="Drop Down 146">
          <controlPr defaultSize="0" autoLine="0" autoPict="0">
            <anchor moveWithCells="1">
              <from>
                <xdr:col>3</xdr:col>
                <xdr:colOff>0</xdr:colOff>
                <xdr:row>166</xdr:row>
                <xdr:rowOff>0</xdr:rowOff>
              </from>
              <to>
                <xdr:col>8</xdr:col>
                <xdr:colOff>0</xdr:colOff>
                <xdr:row>167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15" r:id="rId124" name="Drop Down 147">
          <controlPr defaultSize="0" autoLine="0" autoPict="0">
            <anchor moveWithCells="1">
              <from>
                <xdr:col>3</xdr:col>
                <xdr:colOff>0</xdr:colOff>
                <xdr:row>169</xdr:row>
                <xdr:rowOff>180975</xdr:rowOff>
              </from>
              <to>
                <xdr:col>8</xdr:col>
                <xdr:colOff>0</xdr:colOff>
                <xdr:row>171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16" r:id="rId125" name="Check Box 148">
          <controlPr defaultSize="0" autoFill="0" autoLine="0" autoPict="0">
            <anchor moveWithCells="1">
              <from>
                <xdr:col>2</xdr:col>
                <xdr:colOff>0</xdr:colOff>
                <xdr:row>174</xdr:row>
                <xdr:rowOff>0</xdr:rowOff>
              </from>
              <to>
                <xdr:col>3</xdr:col>
                <xdr:colOff>400050</xdr:colOff>
                <xdr:row>175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17" r:id="rId126" name="Check Box 149">
          <controlPr defaultSize="0" autoFill="0" autoLine="0" autoPict="0">
            <anchor moveWithCells="1">
              <from>
                <xdr:col>2</xdr:col>
                <xdr:colOff>0</xdr:colOff>
                <xdr:row>175</xdr:row>
                <xdr:rowOff>0</xdr:rowOff>
              </from>
              <to>
                <xdr:col>3</xdr:col>
                <xdr:colOff>200025</xdr:colOff>
                <xdr:row>176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18" r:id="rId127" name="Check Box 150">
          <controlPr defaultSize="0" autoFill="0" autoLine="0" autoPict="0">
            <anchor moveWithCells="1">
              <from>
                <xdr:col>2</xdr:col>
                <xdr:colOff>0</xdr:colOff>
                <xdr:row>176</xdr:row>
                <xdr:rowOff>0</xdr:rowOff>
              </from>
              <to>
                <xdr:col>3</xdr:col>
                <xdr:colOff>400050</xdr:colOff>
                <xdr:row>177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19" r:id="rId128" name="Check Box 151">
          <controlPr defaultSize="0" autoFill="0" autoLine="0" autoPict="0">
            <anchor moveWithCells="1">
              <from>
                <xdr:col>2</xdr:col>
                <xdr:colOff>0</xdr:colOff>
                <xdr:row>177</xdr:row>
                <xdr:rowOff>0</xdr:rowOff>
              </from>
              <to>
                <xdr:col>3</xdr:col>
                <xdr:colOff>400050</xdr:colOff>
                <xdr:row>178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20" r:id="rId129" name="Label 152">
          <controlPr defaultSize="0" autoFill="0" autoLine="0" autoPict="0">
            <anchor moveWithCells="1" sizeWithCells="1">
              <from>
                <xdr:col>2</xdr:col>
                <xdr:colOff>0</xdr:colOff>
                <xdr:row>179</xdr:row>
                <xdr:rowOff>0</xdr:rowOff>
              </from>
              <to>
                <xdr:col>3</xdr:col>
                <xdr:colOff>0</xdr:colOff>
                <xdr:row>180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21" r:id="rId130" name="Group Box 153">
          <controlPr defaultSize="0" autoFill="0" autoPict="0">
            <anchor moveWithCells="1">
              <from>
                <xdr:col>2</xdr:col>
                <xdr:colOff>42863</xdr:colOff>
                <xdr:row>130</xdr:row>
                <xdr:rowOff>0</xdr:rowOff>
              </from>
              <to>
                <xdr:col>9</xdr:col>
                <xdr:colOff>0</xdr:colOff>
                <xdr:row>142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22" r:id="rId131" name="Check Box 154">
          <controlPr defaultSize="0" autoFill="0" autoLine="0" autoPict="0">
            <anchor moveWithCells="1">
              <from>
                <xdr:col>2</xdr:col>
                <xdr:colOff>0</xdr:colOff>
                <xdr:row>131</xdr:row>
                <xdr:rowOff>0</xdr:rowOff>
              </from>
              <to>
                <xdr:col>3</xdr:col>
                <xdr:colOff>581025</xdr:colOff>
                <xdr:row>132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23" r:id="rId132" name="Check Box 155">
          <controlPr defaultSize="0" autoFill="0" autoLine="0" autoPict="0">
            <anchor moveWithCells="1">
              <from>
                <xdr:col>2</xdr:col>
                <xdr:colOff>0</xdr:colOff>
                <xdr:row>132</xdr:row>
                <xdr:rowOff>0</xdr:rowOff>
              </from>
              <to>
                <xdr:col>3</xdr:col>
                <xdr:colOff>581025</xdr:colOff>
                <xdr:row>133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24" r:id="rId133" name="Check Box 156">
          <controlPr defaultSize="0" autoFill="0" autoLine="0" autoPict="0">
            <anchor moveWithCells="1">
              <from>
                <xdr:col>2</xdr:col>
                <xdr:colOff>0</xdr:colOff>
                <xdr:row>132</xdr:row>
                <xdr:rowOff>180975</xdr:rowOff>
              </from>
              <to>
                <xdr:col>3</xdr:col>
                <xdr:colOff>581025</xdr:colOff>
                <xdr:row>134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25" r:id="rId134" name="Check Box 157">
          <controlPr defaultSize="0" autoFill="0" autoLine="0" autoPict="0">
            <anchor moveWithCells="1">
              <from>
                <xdr:col>2</xdr:col>
                <xdr:colOff>0</xdr:colOff>
                <xdr:row>133</xdr:row>
                <xdr:rowOff>180975</xdr:rowOff>
              </from>
              <to>
                <xdr:col>3</xdr:col>
                <xdr:colOff>581025</xdr:colOff>
                <xdr:row>135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26" r:id="rId135" name="Check Box 158">
          <controlPr defaultSize="0" autoFill="0" autoLine="0" autoPict="0">
            <anchor moveWithCells="1">
              <from>
                <xdr:col>2</xdr:col>
                <xdr:colOff>0</xdr:colOff>
                <xdr:row>134</xdr:row>
                <xdr:rowOff>180975</xdr:rowOff>
              </from>
              <to>
                <xdr:col>3</xdr:col>
                <xdr:colOff>581025</xdr:colOff>
                <xdr:row>136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27" r:id="rId136" name="Check Box 159">
          <controlPr defaultSize="0" autoFill="0" autoLine="0" autoPict="0">
            <anchor moveWithCells="1">
              <from>
                <xdr:col>2</xdr:col>
                <xdr:colOff>0</xdr:colOff>
                <xdr:row>135</xdr:row>
                <xdr:rowOff>171450</xdr:rowOff>
              </from>
              <to>
                <xdr:col>3</xdr:col>
                <xdr:colOff>581025</xdr:colOff>
                <xdr:row>137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28" r:id="rId137" name="Check Box 160">
          <controlPr defaultSize="0" autoFill="0" autoLine="0" autoPict="0">
            <anchor moveWithCells="1">
              <from>
                <xdr:col>2</xdr:col>
                <xdr:colOff>0</xdr:colOff>
                <xdr:row>136</xdr:row>
                <xdr:rowOff>171450</xdr:rowOff>
              </from>
              <to>
                <xdr:col>3</xdr:col>
                <xdr:colOff>581025</xdr:colOff>
                <xdr:row>138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29" r:id="rId138" name="Check Box 161">
          <controlPr defaultSize="0" autoFill="0" autoLine="0" autoPict="0">
            <anchor moveWithCells="1">
              <from>
                <xdr:col>2</xdr:col>
                <xdr:colOff>0</xdr:colOff>
                <xdr:row>137</xdr:row>
                <xdr:rowOff>171450</xdr:rowOff>
              </from>
              <to>
                <xdr:col>3</xdr:col>
                <xdr:colOff>581025</xdr:colOff>
                <xdr:row>139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30" r:id="rId139" name="Check Box 162">
          <controlPr defaultSize="0" autoFill="0" autoLine="0" autoPict="0">
            <anchor moveWithCells="1">
              <from>
                <xdr:col>2</xdr:col>
                <xdr:colOff>0</xdr:colOff>
                <xdr:row>138</xdr:row>
                <xdr:rowOff>161925</xdr:rowOff>
              </from>
              <to>
                <xdr:col>3</xdr:col>
                <xdr:colOff>581025</xdr:colOff>
                <xdr:row>140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31" r:id="rId140" name="Check Box 163">
          <controlPr defaultSize="0" autoFill="0" autoLine="0" autoPict="0">
            <anchor moveWithCells="1">
              <from>
                <xdr:col>2</xdr:col>
                <xdr:colOff>0</xdr:colOff>
                <xdr:row>139</xdr:row>
                <xdr:rowOff>161925</xdr:rowOff>
              </from>
              <to>
                <xdr:col>3</xdr:col>
                <xdr:colOff>581025</xdr:colOff>
                <xdr:row>141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32" r:id="rId141" name="Check Box 164">
          <controlPr defaultSize="0" autoFill="0" autoLine="0" autoPict="0">
            <anchor moveWithCells="1">
              <from>
                <xdr:col>4</xdr:col>
                <xdr:colOff>152400</xdr:colOff>
                <xdr:row>131</xdr:row>
                <xdr:rowOff>0</xdr:rowOff>
              </from>
              <to>
                <xdr:col>6</xdr:col>
                <xdr:colOff>114300</xdr:colOff>
                <xdr:row>132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33" r:id="rId142" name="Check Box 165">
          <controlPr defaultSize="0" autoFill="0" autoLine="0" autoPict="0">
            <anchor moveWithCells="1">
              <from>
                <xdr:col>4</xdr:col>
                <xdr:colOff>152400</xdr:colOff>
                <xdr:row>132</xdr:row>
                <xdr:rowOff>0</xdr:rowOff>
              </from>
              <to>
                <xdr:col>6</xdr:col>
                <xdr:colOff>114300</xdr:colOff>
                <xdr:row>133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34" r:id="rId143" name="Check Box 166">
          <controlPr defaultSize="0" autoFill="0" autoLine="0" autoPict="0">
            <anchor moveWithCells="1">
              <from>
                <xdr:col>4</xdr:col>
                <xdr:colOff>152400</xdr:colOff>
                <xdr:row>132</xdr:row>
                <xdr:rowOff>180975</xdr:rowOff>
              </from>
              <to>
                <xdr:col>6</xdr:col>
                <xdr:colOff>114300</xdr:colOff>
                <xdr:row>134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35" r:id="rId144" name="Check Box 167">
          <controlPr defaultSize="0" autoFill="0" autoLine="0" autoPict="0">
            <anchor moveWithCells="1">
              <from>
                <xdr:col>4</xdr:col>
                <xdr:colOff>152400</xdr:colOff>
                <xdr:row>133</xdr:row>
                <xdr:rowOff>180975</xdr:rowOff>
              </from>
              <to>
                <xdr:col>6</xdr:col>
                <xdr:colOff>114300</xdr:colOff>
                <xdr:row>135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36" r:id="rId145" name="Check Box 168">
          <controlPr defaultSize="0" autoFill="0" autoLine="0" autoPict="0">
            <anchor moveWithCells="1">
              <from>
                <xdr:col>4</xdr:col>
                <xdr:colOff>152400</xdr:colOff>
                <xdr:row>134</xdr:row>
                <xdr:rowOff>180975</xdr:rowOff>
              </from>
              <to>
                <xdr:col>6</xdr:col>
                <xdr:colOff>114300</xdr:colOff>
                <xdr:row>136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37" r:id="rId146" name="Check Box 169">
          <controlPr defaultSize="0" autoFill="0" autoLine="0" autoPict="0">
            <anchor moveWithCells="1">
              <from>
                <xdr:col>4</xdr:col>
                <xdr:colOff>152400</xdr:colOff>
                <xdr:row>135</xdr:row>
                <xdr:rowOff>171450</xdr:rowOff>
              </from>
              <to>
                <xdr:col>6</xdr:col>
                <xdr:colOff>114300</xdr:colOff>
                <xdr:row>137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38" r:id="rId147" name="Check Box 170">
          <controlPr defaultSize="0" autoFill="0" autoLine="0" autoPict="0">
            <anchor moveWithCells="1">
              <from>
                <xdr:col>4</xdr:col>
                <xdr:colOff>152400</xdr:colOff>
                <xdr:row>136</xdr:row>
                <xdr:rowOff>171450</xdr:rowOff>
              </from>
              <to>
                <xdr:col>6</xdr:col>
                <xdr:colOff>114300</xdr:colOff>
                <xdr:row>138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39" r:id="rId148" name="Check Box 171">
          <controlPr defaultSize="0" autoFill="0" autoLine="0" autoPict="0">
            <anchor moveWithCells="1">
              <from>
                <xdr:col>4</xdr:col>
                <xdr:colOff>152400</xdr:colOff>
                <xdr:row>137</xdr:row>
                <xdr:rowOff>171450</xdr:rowOff>
              </from>
              <to>
                <xdr:col>6</xdr:col>
                <xdr:colOff>114300</xdr:colOff>
                <xdr:row>139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40" r:id="rId149" name="Check Box 172">
          <controlPr defaultSize="0" autoFill="0" autoLine="0" autoPict="0">
            <anchor moveWithCells="1">
              <from>
                <xdr:col>4</xdr:col>
                <xdr:colOff>152400</xdr:colOff>
                <xdr:row>138</xdr:row>
                <xdr:rowOff>161925</xdr:rowOff>
              </from>
              <to>
                <xdr:col>6</xdr:col>
                <xdr:colOff>114300</xdr:colOff>
                <xdr:row>140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41" r:id="rId150" name="Check Box 173">
          <controlPr defaultSize="0" autoFill="0" autoLine="0" autoPict="0">
            <anchor moveWithCells="1">
              <from>
                <xdr:col>4</xdr:col>
                <xdr:colOff>152400</xdr:colOff>
                <xdr:row>139</xdr:row>
                <xdr:rowOff>161925</xdr:rowOff>
              </from>
              <to>
                <xdr:col>6</xdr:col>
                <xdr:colOff>114300</xdr:colOff>
                <xdr:row>141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42" r:id="rId151" name="Check Box 174">
          <controlPr defaultSize="0" autoFill="0" autoLine="0" autoPict="0">
            <anchor moveWithCells="1">
              <from>
                <xdr:col>6</xdr:col>
                <xdr:colOff>228600</xdr:colOff>
                <xdr:row>131</xdr:row>
                <xdr:rowOff>0</xdr:rowOff>
              </from>
              <to>
                <xdr:col>9</xdr:col>
                <xdr:colOff>0</xdr:colOff>
                <xdr:row>132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43" r:id="rId152" name="Check Box 175">
          <controlPr defaultSize="0" autoFill="0" autoLine="0" autoPict="0">
            <anchor moveWithCells="1">
              <from>
                <xdr:col>6</xdr:col>
                <xdr:colOff>228600</xdr:colOff>
                <xdr:row>131</xdr:row>
                <xdr:rowOff>180975</xdr:rowOff>
              </from>
              <to>
                <xdr:col>9</xdr:col>
                <xdr:colOff>0</xdr:colOff>
                <xdr:row>133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44" r:id="rId153" name="Check Box 176">
          <controlPr defaultSize="0" autoFill="0" autoLine="0" autoPict="0">
            <anchor moveWithCells="1">
              <from>
                <xdr:col>6</xdr:col>
                <xdr:colOff>228600</xdr:colOff>
                <xdr:row>132</xdr:row>
                <xdr:rowOff>180975</xdr:rowOff>
              </from>
              <to>
                <xdr:col>8</xdr:col>
                <xdr:colOff>200025</xdr:colOff>
                <xdr:row>134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45" r:id="rId154" name="Check Box 177">
          <controlPr defaultSize="0" autoFill="0" autoLine="0" autoPict="0">
            <anchor moveWithCells="1">
              <from>
                <xdr:col>6</xdr:col>
                <xdr:colOff>228600</xdr:colOff>
                <xdr:row>133</xdr:row>
                <xdr:rowOff>171450</xdr:rowOff>
              </from>
              <to>
                <xdr:col>8</xdr:col>
                <xdr:colOff>200025</xdr:colOff>
                <xdr:row>135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46" r:id="rId155" name="Check Box 178">
          <controlPr defaultSize="0" autoFill="0" autoLine="0" autoPict="0">
            <anchor moveWithCells="1">
              <from>
                <xdr:col>6</xdr:col>
                <xdr:colOff>228600</xdr:colOff>
                <xdr:row>134</xdr:row>
                <xdr:rowOff>171450</xdr:rowOff>
              </from>
              <to>
                <xdr:col>8</xdr:col>
                <xdr:colOff>200025</xdr:colOff>
                <xdr:row>136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47" r:id="rId156" name="Check Box 179">
          <controlPr defaultSize="0" autoFill="0" autoLine="0" autoPict="0">
            <anchor moveWithCells="1">
              <from>
                <xdr:col>6</xdr:col>
                <xdr:colOff>228600</xdr:colOff>
                <xdr:row>135</xdr:row>
                <xdr:rowOff>161925</xdr:rowOff>
              </from>
              <to>
                <xdr:col>8</xdr:col>
                <xdr:colOff>200025</xdr:colOff>
                <xdr:row>137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48" r:id="rId157" name="Check Box 180">
          <controlPr defaultSize="0" autoFill="0" autoLine="0" autoPict="0">
            <anchor moveWithCells="1">
              <from>
                <xdr:col>6</xdr:col>
                <xdr:colOff>228600</xdr:colOff>
                <xdr:row>136</xdr:row>
                <xdr:rowOff>161925</xdr:rowOff>
              </from>
              <to>
                <xdr:col>8</xdr:col>
                <xdr:colOff>200025</xdr:colOff>
                <xdr:row>138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49" r:id="rId158" name="Group Box 181">
          <controlPr defaultSize="0" autoFill="0" autoPict="0">
            <anchor moveWithCells="1">
              <from>
                <xdr:col>2</xdr:col>
                <xdr:colOff>0</xdr:colOff>
                <xdr:row>165</xdr:row>
                <xdr:rowOff>0</xdr:rowOff>
              </from>
              <to>
                <xdr:col>9</xdr:col>
                <xdr:colOff>0</xdr:colOff>
                <xdr:row>172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50" r:id="rId159" name="Drop Down 182">
          <controlPr defaultSize="0" autoLine="0" autoPict="0">
            <anchor moveWithCells="1">
              <from>
                <xdr:col>3</xdr:col>
                <xdr:colOff>0</xdr:colOff>
                <xdr:row>167</xdr:row>
                <xdr:rowOff>180975</xdr:rowOff>
              </from>
              <to>
                <xdr:col>8</xdr:col>
                <xdr:colOff>0</xdr:colOff>
                <xdr:row>169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52" r:id="rId160" name="Group Box 184">
          <controlPr defaultSize="0" autoFill="0" autoPict="0">
            <anchor moveWithCells="1">
              <from>
                <xdr:col>2</xdr:col>
                <xdr:colOff>0</xdr:colOff>
                <xdr:row>153</xdr:row>
                <xdr:rowOff>0</xdr:rowOff>
              </from>
              <to>
                <xdr:col>7</xdr:col>
                <xdr:colOff>0</xdr:colOff>
                <xdr:row>164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53" r:id="rId161" name="Label 185">
          <controlPr defaultSize="0" autoFill="0" autoLine="0" autoPict="0">
            <anchor moveWithCells="1">
              <from>
                <xdr:col>2</xdr:col>
                <xdr:colOff>0</xdr:colOff>
                <xdr:row>160</xdr:row>
                <xdr:rowOff>0</xdr:rowOff>
              </from>
              <to>
                <xdr:col>3</xdr:col>
                <xdr:colOff>400050</xdr:colOff>
                <xdr:row>161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54" r:id="rId162" name="Group Box 186">
          <controlPr defaultSize="0" autoFill="0" autoPict="0">
            <anchor moveWithCells="1">
              <from>
                <xdr:col>2</xdr:col>
                <xdr:colOff>0</xdr:colOff>
                <xdr:row>173</xdr:row>
                <xdr:rowOff>0</xdr:rowOff>
              </from>
              <to>
                <xdr:col>5</xdr:col>
                <xdr:colOff>0</xdr:colOff>
                <xdr:row>180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70" r:id="rId163" name="Group Box 202">
          <controlPr defaultSize="0" autoFill="0" autoPict="0">
            <anchor moveWithCells="1">
              <from>
                <xdr:col>1</xdr:col>
                <xdr:colOff>0</xdr:colOff>
                <xdr:row>129</xdr:row>
                <xdr:rowOff>0</xdr:rowOff>
              </from>
              <to>
                <xdr:col>10</xdr:col>
                <xdr:colOff>0</xdr:colOff>
                <xdr:row>180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90" r:id="rId164" name="Group Box 22">
          <controlPr defaultSize="0" autoFill="0" autoPict="0">
            <anchor moveWithCells="1">
              <from>
                <xdr:col>2</xdr:col>
                <xdr:colOff>0</xdr:colOff>
                <xdr:row>51</xdr:row>
                <xdr:rowOff>0</xdr:rowOff>
              </from>
              <to>
                <xdr:col>7</xdr:col>
                <xdr:colOff>0</xdr:colOff>
                <xdr:row>61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68" r:id="rId165" name="Group Box 200">
          <controlPr defaultSize="0" autoFill="0" autoPict="0">
            <anchor moveWithCells="1">
              <from>
                <xdr:col>1</xdr:col>
                <xdr:colOff>0</xdr:colOff>
                <xdr:row>21</xdr:row>
                <xdr:rowOff>0</xdr:rowOff>
              </from>
              <to>
                <xdr:col>10</xdr:col>
                <xdr:colOff>0</xdr:colOff>
                <xdr:row>78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74" r:id="rId166" name="Label 206">
          <controlPr defaultSize="0" autoFill="0" autoLine="0" autoPict="0">
            <anchor moveWithCells="1">
              <from>
                <xdr:col>2</xdr:col>
                <xdr:colOff>0</xdr:colOff>
                <xdr:row>166</xdr:row>
                <xdr:rowOff>0</xdr:rowOff>
              </from>
              <to>
                <xdr:col>3</xdr:col>
                <xdr:colOff>400050</xdr:colOff>
                <xdr:row>167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75" r:id="rId167" name="Label 207">
          <controlPr defaultSize="0" autoFill="0" autoLine="0" autoPict="0">
            <anchor moveWithCells="1" sizeWithCells="1">
              <from>
                <xdr:col>2</xdr:col>
                <xdr:colOff>0</xdr:colOff>
                <xdr:row>168</xdr:row>
                <xdr:rowOff>9525</xdr:rowOff>
              </from>
              <to>
                <xdr:col>3</xdr:col>
                <xdr:colOff>0</xdr:colOff>
                <xdr:row>169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76" r:id="rId168" name="Label 208">
          <controlPr defaultSize="0" autoFill="0" autoLine="0" autoPict="0">
            <anchor moveWithCells="1">
              <from>
                <xdr:col>2</xdr:col>
                <xdr:colOff>0</xdr:colOff>
                <xdr:row>170</xdr:row>
                <xdr:rowOff>0</xdr:rowOff>
              </from>
              <to>
                <xdr:col>3</xdr:col>
                <xdr:colOff>400050</xdr:colOff>
                <xdr:row>171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78" r:id="rId169" name="Group Box 10">
          <controlPr defaultSize="0" autoFill="0" autoPict="0">
            <anchor moveWithCells="1">
              <from>
                <xdr:col>2</xdr:col>
                <xdr:colOff>0</xdr:colOff>
                <xdr:row>7</xdr:row>
                <xdr:rowOff>0</xdr:rowOff>
              </from>
              <to>
                <xdr:col>6</xdr:col>
                <xdr:colOff>0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67" r:id="rId170" name="Group Box 199">
          <controlPr defaultSize="0" autoFill="0" autoPict="0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7</xdr:col>
                <xdr:colOff>9525</xdr:colOff>
                <xdr:row>19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70" r:id="rId171" name="Label 102">
          <controlPr defaultSize="0" autoFill="0" autoLine="0" autoPict="0">
            <anchor moveWithCells="1" sizeWithCells="1">
              <from>
                <xdr:col>2</xdr:col>
                <xdr:colOff>0</xdr:colOff>
                <xdr:row>111</xdr:row>
                <xdr:rowOff>190500</xdr:rowOff>
              </from>
              <to>
                <xdr:col>3</xdr:col>
                <xdr:colOff>342900</xdr:colOff>
                <xdr:row>113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69" r:id="rId172" name="Group Box 201">
          <controlPr defaultSize="0" autoFill="0" autoPict="0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9</xdr:col>
                <xdr:colOff>0</xdr:colOff>
                <xdr:row>128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83" r:id="rId173" name="Label 215">
          <controlPr defaultSize="0" autoFill="0" autoLine="0" autoPict="0">
            <anchor moveWithCells="1" sizeWithCells="1">
              <from>
                <xdr:col>2</xdr:col>
                <xdr:colOff>0</xdr:colOff>
                <xdr:row>161</xdr:row>
                <xdr:rowOff>171450</xdr:rowOff>
              </from>
              <to>
                <xdr:col>3</xdr:col>
                <xdr:colOff>438150</xdr:colOff>
                <xdr:row>162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84" r:id="rId174" name="Drop Down 216">
          <controlPr defaultSize="0" autoLine="0" autoPict="0">
            <anchor moveWithCells="1">
              <from>
                <xdr:col>3</xdr:col>
                <xdr:colOff>600075</xdr:colOff>
                <xdr:row>161</xdr:row>
                <xdr:rowOff>180975</xdr:rowOff>
              </from>
              <to>
                <xdr:col>6</xdr:col>
                <xdr:colOff>0</xdr:colOff>
                <xdr:row>163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91" r:id="rId175" name="Button 123">
          <controlPr defaultSize="0" print="0" autoFill="0" autoPict="0" macro="[0]!ResetForm">
            <anchor moveWithCells="1" sizeWithCells="1">
              <from>
                <xdr:col>5</xdr:col>
                <xdr:colOff>0</xdr:colOff>
                <xdr:row>186</xdr:row>
                <xdr:rowOff>0</xdr:rowOff>
              </from>
              <to>
                <xdr:col>7</xdr:col>
                <xdr:colOff>0</xdr:colOff>
                <xdr:row>189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C3E23-7470-4E2D-9425-58DB0E21EE7F}">
  <sheetPr codeName="Sheet2"/>
  <dimension ref="A1:M298"/>
  <sheetViews>
    <sheetView topLeftCell="A268" zoomScaleNormal="100" workbookViewId="0">
      <selection activeCell="A274" sqref="A274"/>
    </sheetView>
  </sheetViews>
  <sheetFormatPr defaultRowHeight="14.25" x14ac:dyDescent="0.45"/>
  <cols>
    <col min="1" max="1" width="59.1328125" bestFit="1" customWidth="1"/>
  </cols>
  <sheetData>
    <row r="1" spans="1:12" x14ac:dyDescent="0.45">
      <c r="A1" s="2" t="s">
        <v>26</v>
      </c>
    </row>
    <row r="2" spans="1:12" x14ac:dyDescent="0.45">
      <c r="A2" s="2"/>
    </row>
    <row r="3" spans="1:12" x14ac:dyDescent="0.45">
      <c r="A3" t="s">
        <v>0</v>
      </c>
    </row>
    <row r="4" spans="1:12" x14ac:dyDescent="0.45">
      <c r="A4" t="s">
        <v>1</v>
      </c>
      <c r="L4" t="str" cm="1">
        <f t="array" ref="L4:L5">INDEX(Options!A3:A4,'VBA Test'!O5)</f>
        <v>Male</v>
      </c>
    </row>
    <row r="5" spans="1:12" x14ac:dyDescent="0.45">
      <c r="L5" t="str">
        <v>Female</v>
      </c>
    </row>
    <row r="6" spans="1:12" x14ac:dyDescent="0.45">
      <c r="A6" s="2" t="s">
        <v>137</v>
      </c>
    </row>
    <row r="7" spans="1:12" x14ac:dyDescent="0.45">
      <c r="A7" s="2"/>
    </row>
    <row r="8" spans="1:12" x14ac:dyDescent="0.45">
      <c r="A8">
        <v>1</v>
      </c>
    </row>
    <row r="9" spans="1:12" x14ac:dyDescent="0.45">
      <c r="A9">
        <v>2</v>
      </c>
    </row>
    <row r="10" spans="1:12" x14ac:dyDescent="0.45">
      <c r="A10">
        <v>3</v>
      </c>
      <c r="L10">
        <f>IFERROR(K10,"error result")</f>
        <v>0</v>
      </c>
    </row>
    <row r="11" spans="1:12" x14ac:dyDescent="0.45">
      <c r="A11">
        <v>4</v>
      </c>
    </row>
    <row r="12" spans="1:12" x14ac:dyDescent="0.45">
      <c r="A12">
        <v>5</v>
      </c>
    </row>
    <row r="13" spans="1:12" x14ac:dyDescent="0.45">
      <c r="A13">
        <v>6</v>
      </c>
    </row>
    <row r="14" spans="1:12" x14ac:dyDescent="0.45">
      <c r="A14">
        <v>7</v>
      </c>
      <c r="L14">
        <f>IFERROR(INDEX(Options!A121:A129,'VBA Test'!O13),"error result")</f>
        <v>0</v>
      </c>
    </row>
    <row r="15" spans="1:12" x14ac:dyDescent="0.45">
      <c r="A15">
        <v>8</v>
      </c>
    </row>
    <row r="16" spans="1:12" x14ac:dyDescent="0.45">
      <c r="A16">
        <v>9</v>
      </c>
    </row>
    <row r="17" spans="1:12" x14ac:dyDescent="0.45">
      <c r="A17">
        <v>10</v>
      </c>
      <c r="F17" t="s">
        <v>150</v>
      </c>
    </row>
    <row r="18" spans="1:12" x14ac:dyDescent="0.45">
      <c r="A18">
        <v>11</v>
      </c>
      <c r="L18" t="str">
        <f>IFERROR(INDEX(Options!A133:A148,'VBA Test'!O17),"error result")</f>
        <v>Christian - Evangelical Protestant</v>
      </c>
    </row>
    <row r="19" spans="1:12" x14ac:dyDescent="0.45">
      <c r="A19">
        <v>12</v>
      </c>
    </row>
    <row r="20" spans="1:12" x14ac:dyDescent="0.45">
      <c r="A20">
        <v>13</v>
      </c>
      <c r="L20">
        <f>K20</f>
        <v>0</v>
      </c>
    </row>
    <row r="21" spans="1:12" x14ac:dyDescent="0.45">
      <c r="A21">
        <v>14</v>
      </c>
      <c r="L21">
        <f t="shared" ref="L21:L46" si="0">K21</f>
        <v>0</v>
      </c>
    </row>
    <row r="22" spans="1:12" x14ac:dyDescent="0.45">
      <c r="A22">
        <v>15</v>
      </c>
      <c r="L22">
        <f t="shared" si="0"/>
        <v>0</v>
      </c>
    </row>
    <row r="23" spans="1:12" x14ac:dyDescent="0.45">
      <c r="A23">
        <v>16</v>
      </c>
      <c r="L23">
        <f t="shared" si="0"/>
        <v>0</v>
      </c>
    </row>
    <row r="24" spans="1:12" x14ac:dyDescent="0.45">
      <c r="A24">
        <v>17</v>
      </c>
      <c r="L24">
        <f t="shared" si="0"/>
        <v>0</v>
      </c>
    </row>
    <row r="25" spans="1:12" x14ac:dyDescent="0.45">
      <c r="A25">
        <v>18</v>
      </c>
      <c r="L25">
        <f t="shared" si="0"/>
        <v>0</v>
      </c>
    </row>
    <row r="26" spans="1:12" x14ac:dyDescent="0.45">
      <c r="A26">
        <v>19</v>
      </c>
      <c r="L26">
        <f t="shared" si="0"/>
        <v>0</v>
      </c>
    </row>
    <row r="27" spans="1:12" x14ac:dyDescent="0.45">
      <c r="A27">
        <v>20</v>
      </c>
      <c r="L27">
        <f t="shared" si="0"/>
        <v>0</v>
      </c>
    </row>
    <row r="28" spans="1:12" x14ac:dyDescent="0.45">
      <c r="A28">
        <v>21</v>
      </c>
      <c r="L28">
        <f t="shared" si="0"/>
        <v>0</v>
      </c>
    </row>
    <row r="29" spans="1:12" x14ac:dyDescent="0.45">
      <c r="A29">
        <v>22</v>
      </c>
      <c r="L29">
        <f t="shared" si="0"/>
        <v>0</v>
      </c>
    </row>
    <row r="30" spans="1:12" x14ac:dyDescent="0.45">
      <c r="A30">
        <v>23</v>
      </c>
      <c r="L30">
        <f t="shared" si="0"/>
        <v>0</v>
      </c>
    </row>
    <row r="31" spans="1:12" x14ac:dyDescent="0.45">
      <c r="A31">
        <v>24</v>
      </c>
      <c r="L31">
        <f t="shared" si="0"/>
        <v>0</v>
      </c>
    </row>
    <row r="32" spans="1:12" x14ac:dyDescent="0.45">
      <c r="A32">
        <v>25</v>
      </c>
      <c r="L32">
        <f t="shared" si="0"/>
        <v>0</v>
      </c>
    </row>
    <row r="33" spans="1:12" x14ac:dyDescent="0.45">
      <c r="A33">
        <v>26</v>
      </c>
      <c r="L33">
        <f t="shared" si="0"/>
        <v>0</v>
      </c>
    </row>
    <row r="34" spans="1:12" x14ac:dyDescent="0.45">
      <c r="A34">
        <v>27</v>
      </c>
      <c r="L34">
        <f t="shared" si="0"/>
        <v>0</v>
      </c>
    </row>
    <row r="35" spans="1:12" x14ac:dyDescent="0.45">
      <c r="A35">
        <v>28</v>
      </c>
      <c r="L35">
        <f t="shared" si="0"/>
        <v>0</v>
      </c>
    </row>
    <row r="36" spans="1:12" x14ac:dyDescent="0.45">
      <c r="A36">
        <v>29</v>
      </c>
      <c r="L36">
        <f t="shared" si="0"/>
        <v>0</v>
      </c>
    </row>
    <row r="37" spans="1:12" x14ac:dyDescent="0.45">
      <c r="A37">
        <v>30</v>
      </c>
      <c r="L37">
        <f t="shared" si="0"/>
        <v>0</v>
      </c>
    </row>
    <row r="38" spans="1:12" x14ac:dyDescent="0.45">
      <c r="A38">
        <v>31</v>
      </c>
      <c r="L38">
        <f t="shared" si="0"/>
        <v>0</v>
      </c>
    </row>
    <row r="39" spans="1:12" x14ac:dyDescent="0.45">
      <c r="A39">
        <v>32</v>
      </c>
      <c r="L39">
        <f t="shared" si="0"/>
        <v>0</v>
      </c>
    </row>
    <row r="40" spans="1:12" x14ac:dyDescent="0.45">
      <c r="A40">
        <v>33</v>
      </c>
      <c r="L40">
        <f t="shared" si="0"/>
        <v>0</v>
      </c>
    </row>
    <row r="41" spans="1:12" x14ac:dyDescent="0.45">
      <c r="A41">
        <v>34</v>
      </c>
      <c r="L41">
        <f t="shared" si="0"/>
        <v>0</v>
      </c>
    </row>
    <row r="42" spans="1:12" x14ac:dyDescent="0.45">
      <c r="A42">
        <v>35</v>
      </c>
      <c r="L42">
        <f t="shared" si="0"/>
        <v>0</v>
      </c>
    </row>
    <row r="43" spans="1:12" x14ac:dyDescent="0.45">
      <c r="A43">
        <v>36</v>
      </c>
      <c r="L43">
        <f t="shared" si="0"/>
        <v>0</v>
      </c>
    </row>
    <row r="44" spans="1:12" x14ac:dyDescent="0.45">
      <c r="A44">
        <v>37</v>
      </c>
      <c r="L44">
        <f t="shared" si="0"/>
        <v>0</v>
      </c>
    </row>
    <row r="45" spans="1:12" x14ac:dyDescent="0.45">
      <c r="A45">
        <v>38</v>
      </c>
      <c r="L45">
        <f t="shared" si="0"/>
        <v>0</v>
      </c>
    </row>
    <row r="46" spans="1:12" x14ac:dyDescent="0.45">
      <c r="A46">
        <v>39</v>
      </c>
      <c r="L46">
        <f t="shared" si="0"/>
        <v>0</v>
      </c>
    </row>
    <row r="47" spans="1:12" x14ac:dyDescent="0.45">
      <c r="A47">
        <v>40</v>
      </c>
      <c r="L47" t="str">
        <f>IFERROR(INDEX(Options!A154:A159,'VBA Test'!O49),"error result")</f>
        <v>Independent, full function</v>
      </c>
    </row>
    <row r="48" spans="1:12" x14ac:dyDescent="0.45">
      <c r="A48">
        <v>41</v>
      </c>
      <c r="L48">
        <f>IFERROR(K48,"error result")</f>
        <v>0</v>
      </c>
    </row>
    <row r="49" spans="1:13" x14ac:dyDescent="0.45">
      <c r="A49">
        <v>42</v>
      </c>
    </row>
    <row r="50" spans="1:13" x14ac:dyDescent="0.45">
      <c r="A50">
        <v>43</v>
      </c>
    </row>
    <row r="51" spans="1:13" x14ac:dyDescent="0.45">
      <c r="A51">
        <v>44</v>
      </c>
      <c r="L51" t="str">
        <f>IFERROR(INDEX(Options!A173:A176,'VBA Test'!O53),"error result")</f>
        <v>Spontaneous</v>
      </c>
      <c r="M51">
        <f>IFERROR(VLOOKUP(L51,Options!$A$173:$B$176,2,FALSE),0)</f>
        <v>4</v>
      </c>
    </row>
    <row r="52" spans="1:13" x14ac:dyDescent="0.45">
      <c r="A52">
        <v>45</v>
      </c>
    </row>
    <row r="53" spans="1:13" x14ac:dyDescent="0.45">
      <c r="A53">
        <v>46</v>
      </c>
      <c r="L53" t="str">
        <f>IFERROR(INDEX(Options!A179:A183,'VBA Test'!O55),"error result")</f>
        <v>Oriented</v>
      </c>
      <c r="M53">
        <f>IFERROR(VLOOKUP(L53,Options!$A$179:$B$183,2,FALSE),0)</f>
        <v>5</v>
      </c>
    </row>
    <row r="54" spans="1:13" x14ac:dyDescent="0.45">
      <c r="A54">
        <v>47</v>
      </c>
    </row>
    <row r="55" spans="1:13" x14ac:dyDescent="0.45">
      <c r="A55">
        <v>48</v>
      </c>
      <c r="L55" t="str">
        <f>IFERROR(INDEX(Options!A186:A191,'VBA Test'!O57),"error result")</f>
        <v>Obey Commands</v>
      </c>
      <c r="M55">
        <f>IFERROR(VLOOKUP(L55,Options!$A$186:$B$191,2,FALSE),0)</f>
        <v>6</v>
      </c>
    </row>
    <row r="56" spans="1:13" x14ac:dyDescent="0.45">
      <c r="A56">
        <v>49</v>
      </c>
    </row>
    <row r="57" spans="1:13" x14ac:dyDescent="0.45">
      <c r="A57">
        <v>50</v>
      </c>
      <c r="L57">
        <f>IFERROR(B57,"error result")</f>
        <v>0</v>
      </c>
    </row>
    <row r="58" spans="1:13" x14ac:dyDescent="0.45">
      <c r="A58">
        <v>51</v>
      </c>
      <c r="L58">
        <f>IFERROR(C57,"error result")</f>
        <v>0</v>
      </c>
    </row>
    <row r="59" spans="1:13" x14ac:dyDescent="0.45">
      <c r="A59">
        <v>52</v>
      </c>
    </row>
    <row r="60" spans="1:13" x14ac:dyDescent="0.45">
      <c r="A60">
        <v>53</v>
      </c>
    </row>
    <row r="61" spans="1:13" x14ac:dyDescent="0.45">
      <c r="A61">
        <v>54</v>
      </c>
    </row>
    <row r="62" spans="1:13" x14ac:dyDescent="0.45">
      <c r="A62">
        <v>55</v>
      </c>
    </row>
    <row r="63" spans="1:13" x14ac:dyDescent="0.45">
      <c r="A63">
        <v>56</v>
      </c>
    </row>
    <row r="64" spans="1:13" x14ac:dyDescent="0.45">
      <c r="A64">
        <v>57</v>
      </c>
    </row>
    <row r="65" spans="1:12" x14ac:dyDescent="0.45">
      <c r="A65">
        <v>58</v>
      </c>
    </row>
    <row r="66" spans="1:12" x14ac:dyDescent="0.45">
      <c r="A66">
        <v>59</v>
      </c>
    </row>
    <row r="67" spans="1:12" x14ac:dyDescent="0.45">
      <c r="A67">
        <v>60</v>
      </c>
    </row>
    <row r="68" spans="1:12" x14ac:dyDescent="0.45">
      <c r="A68">
        <v>61</v>
      </c>
    </row>
    <row r="69" spans="1:12" x14ac:dyDescent="0.45">
      <c r="A69">
        <v>62</v>
      </c>
    </row>
    <row r="70" spans="1:12" x14ac:dyDescent="0.45">
      <c r="A70">
        <v>63</v>
      </c>
    </row>
    <row r="71" spans="1:12" x14ac:dyDescent="0.45">
      <c r="A71">
        <v>64</v>
      </c>
    </row>
    <row r="72" spans="1:12" x14ac:dyDescent="0.45">
      <c r="A72">
        <v>65</v>
      </c>
    </row>
    <row r="73" spans="1:12" x14ac:dyDescent="0.45">
      <c r="A73">
        <v>66</v>
      </c>
    </row>
    <row r="74" spans="1:12" x14ac:dyDescent="0.45">
      <c r="A74">
        <v>67</v>
      </c>
      <c r="L74">
        <f>IFERROR(B74,"error result")</f>
        <v>0</v>
      </c>
    </row>
    <row r="75" spans="1:12" x14ac:dyDescent="0.45">
      <c r="A75">
        <v>68</v>
      </c>
    </row>
    <row r="76" spans="1:12" x14ac:dyDescent="0.45">
      <c r="A76">
        <v>69</v>
      </c>
    </row>
    <row r="77" spans="1:12" x14ac:dyDescent="0.45">
      <c r="A77">
        <v>70</v>
      </c>
      <c r="L77" t="str">
        <f>IFERROR(INDEX(Options!A242:A243,'VBA Test'!O82),"error result")</f>
        <v>Person</v>
      </c>
    </row>
    <row r="78" spans="1:12" x14ac:dyDescent="0.45">
      <c r="A78">
        <v>71</v>
      </c>
    </row>
    <row r="79" spans="1:12" x14ac:dyDescent="0.45">
      <c r="A79">
        <v>72</v>
      </c>
    </row>
    <row r="80" spans="1:12" x14ac:dyDescent="0.45">
      <c r="A80">
        <v>73</v>
      </c>
    </row>
    <row r="81" spans="1:12" x14ac:dyDescent="0.45">
      <c r="A81">
        <v>74</v>
      </c>
    </row>
    <row r="82" spans="1:12" x14ac:dyDescent="0.45">
      <c r="A82">
        <v>75</v>
      </c>
    </row>
    <row r="83" spans="1:12" x14ac:dyDescent="0.45">
      <c r="A83">
        <v>76</v>
      </c>
      <c r="L83" t="str">
        <f>IFERROR(INDEX(Options!A254:A260,'VBA Test'!O88),"error result")</f>
        <v>Parent</v>
      </c>
    </row>
    <row r="84" spans="1:12" x14ac:dyDescent="0.45">
      <c r="A84">
        <v>77</v>
      </c>
    </row>
    <row r="85" spans="1:12" x14ac:dyDescent="0.45">
      <c r="A85">
        <v>78</v>
      </c>
      <c r="L85" t="str">
        <f>IFERROR(INDEX(Options!A249:A250,'VBA Test'!O93),"error result")</f>
        <v>Living</v>
      </c>
    </row>
    <row r="86" spans="1:12" x14ac:dyDescent="0.45">
      <c r="A86">
        <v>79</v>
      </c>
    </row>
    <row r="87" spans="1:12" x14ac:dyDescent="0.45">
      <c r="A87">
        <v>80</v>
      </c>
      <c r="L87" t="str">
        <f>IFERROR(INDEX(Options!A263:A266,'VBA Test'!O95),"error result")</f>
        <v>Close/Touching</v>
      </c>
    </row>
    <row r="88" spans="1:12" x14ac:dyDescent="0.45">
      <c r="A88">
        <v>81</v>
      </c>
    </row>
    <row r="89" spans="1:12" x14ac:dyDescent="0.45">
      <c r="A89">
        <v>82</v>
      </c>
      <c r="L89" t="str">
        <f>IFERROR(INDEX(Options!A269:A272,'VBA Test'!O97),"error result")</f>
        <v>Standing/Sitting Still</v>
      </c>
    </row>
    <row r="90" spans="1:12" x14ac:dyDescent="0.45">
      <c r="A90">
        <v>83</v>
      </c>
    </row>
    <row r="91" spans="1:12" x14ac:dyDescent="0.45">
      <c r="A91">
        <v>84</v>
      </c>
      <c r="L91" t="str">
        <f>IFERROR(INDEX(Options!A275:A278,'VBA Test'!O99),"error result")</f>
        <v>Positive - loving, kind, pleasant</v>
      </c>
    </row>
    <row r="92" spans="1:12" x14ac:dyDescent="0.45">
      <c r="A92">
        <v>85</v>
      </c>
    </row>
    <row r="93" spans="1:12" x14ac:dyDescent="0.45">
      <c r="A93">
        <v>86</v>
      </c>
      <c r="L93" t="str">
        <f>IFERROR(INDEX(Options!A281:A287,'VBA Test'!O61),"error result")</f>
        <v>Eye contact</v>
      </c>
    </row>
    <row r="94" spans="1:12" x14ac:dyDescent="0.45">
      <c r="A94">
        <v>87</v>
      </c>
    </row>
    <row r="95" spans="1:12" x14ac:dyDescent="0.45">
      <c r="A95">
        <v>88</v>
      </c>
    </row>
    <row r="96" spans="1:12" x14ac:dyDescent="0.45">
      <c r="A96">
        <v>89</v>
      </c>
    </row>
    <row r="97" spans="1:12" x14ac:dyDescent="0.45">
      <c r="A97">
        <v>90</v>
      </c>
      <c r="L97">
        <f>K97</f>
        <v>0</v>
      </c>
    </row>
    <row r="98" spans="1:12" x14ac:dyDescent="0.45">
      <c r="A98">
        <v>91</v>
      </c>
      <c r="L98">
        <f t="shared" ref="L98:L101" si="1">K98</f>
        <v>0</v>
      </c>
    </row>
    <row r="99" spans="1:12" x14ac:dyDescent="0.45">
      <c r="A99">
        <v>92</v>
      </c>
      <c r="L99">
        <f t="shared" si="1"/>
        <v>0</v>
      </c>
    </row>
    <row r="100" spans="1:12" x14ac:dyDescent="0.45">
      <c r="A100">
        <v>93</v>
      </c>
      <c r="L100">
        <f t="shared" si="1"/>
        <v>0</v>
      </c>
    </row>
    <row r="101" spans="1:12" x14ac:dyDescent="0.45">
      <c r="A101">
        <v>94</v>
      </c>
      <c r="L101">
        <f t="shared" si="1"/>
        <v>0</v>
      </c>
    </row>
    <row r="102" spans="1:12" x14ac:dyDescent="0.45">
      <c r="A102">
        <v>95</v>
      </c>
    </row>
    <row r="103" spans="1:12" x14ac:dyDescent="0.45">
      <c r="A103">
        <v>96</v>
      </c>
    </row>
    <row r="104" spans="1:12" x14ac:dyDescent="0.45">
      <c r="A104">
        <v>97</v>
      </c>
    </row>
    <row r="105" spans="1:12" x14ac:dyDescent="0.45">
      <c r="A105">
        <v>98</v>
      </c>
      <c r="L105">
        <f>K105</f>
        <v>0</v>
      </c>
    </row>
    <row r="106" spans="1:12" x14ac:dyDescent="0.45">
      <c r="A106">
        <v>99</v>
      </c>
    </row>
    <row r="107" spans="1:12" x14ac:dyDescent="0.45">
      <c r="A107">
        <v>100</v>
      </c>
      <c r="L107">
        <f>K107</f>
        <v>0</v>
      </c>
    </row>
    <row r="108" spans="1:12" x14ac:dyDescent="0.45">
      <c r="A108">
        <v>101</v>
      </c>
      <c r="L108">
        <f>K108</f>
        <v>0</v>
      </c>
    </row>
    <row r="109" spans="1:12" x14ac:dyDescent="0.45">
      <c r="A109">
        <v>102</v>
      </c>
    </row>
    <row r="110" spans="1:12" x14ac:dyDescent="0.45">
      <c r="A110">
        <v>103</v>
      </c>
      <c r="L110">
        <f>K110</f>
        <v>0</v>
      </c>
    </row>
    <row r="111" spans="1:12" x14ac:dyDescent="0.45">
      <c r="A111">
        <v>104</v>
      </c>
    </row>
    <row r="112" spans="1:12" x14ac:dyDescent="0.45">
      <c r="A112">
        <v>105</v>
      </c>
    </row>
    <row r="113" spans="1:12" x14ac:dyDescent="0.45">
      <c r="A113">
        <v>106</v>
      </c>
    </row>
    <row r="114" spans="1:12" x14ac:dyDescent="0.45">
      <c r="A114">
        <v>107</v>
      </c>
    </row>
    <row r="115" spans="1:12" x14ac:dyDescent="0.45">
      <c r="A115">
        <v>108</v>
      </c>
    </row>
    <row r="116" spans="1:12" x14ac:dyDescent="0.45">
      <c r="A116">
        <v>109</v>
      </c>
      <c r="L116">
        <f>K116</f>
        <v>0</v>
      </c>
    </row>
    <row r="117" spans="1:12" x14ac:dyDescent="0.45">
      <c r="A117">
        <v>110</v>
      </c>
    </row>
    <row r="120" spans="1:12" x14ac:dyDescent="0.45">
      <c r="A120" s="2" t="s">
        <v>27</v>
      </c>
    </row>
    <row r="121" spans="1:12" x14ac:dyDescent="0.45">
      <c r="A121" s="2"/>
    </row>
    <row r="122" spans="1:12" x14ac:dyDescent="0.45">
      <c r="A122" t="s">
        <v>2</v>
      </c>
    </row>
    <row r="123" spans="1:12" x14ac:dyDescent="0.45">
      <c r="A123" t="s">
        <v>3</v>
      </c>
    </row>
    <row r="124" spans="1:12" x14ac:dyDescent="0.45">
      <c r="A124" t="s">
        <v>4</v>
      </c>
    </row>
    <row r="125" spans="1:12" x14ac:dyDescent="0.45">
      <c r="A125" t="s">
        <v>5</v>
      </c>
    </row>
    <row r="126" spans="1:12" x14ac:dyDescent="0.45">
      <c r="A126" t="s">
        <v>6</v>
      </c>
    </row>
    <row r="127" spans="1:12" x14ac:dyDescent="0.45">
      <c r="A127" t="s">
        <v>7</v>
      </c>
    </row>
    <row r="128" spans="1:12" x14ac:dyDescent="0.45">
      <c r="A128" t="s">
        <v>8</v>
      </c>
    </row>
    <row r="129" spans="1:1" x14ac:dyDescent="0.45">
      <c r="A129" t="s">
        <v>9</v>
      </c>
    </row>
    <row r="131" spans="1:1" x14ac:dyDescent="0.45">
      <c r="A131" s="2" t="s">
        <v>10</v>
      </c>
    </row>
    <row r="132" spans="1:1" x14ac:dyDescent="0.45">
      <c r="A132" s="2"/>
    </row>
    <row r="133" spans="1:1" x14ac:dyDescent="0.45">
      <c r="A133" t="s">
        <v>11</v>
      </c>
    </row>
    <row r="134" spans="1:1" x14ac:dyDescent="0.45">
      <c r="A134" t="s">
        <v>12</v>
      </c>
    </row>
    <row r="135" spans="1:1" x14ac:dyDescent="0.45">
      <c r="A135" t="s">
        <v>13</v>
      </c>
    </row>
    <row r="136" spans="1:1" x14ac:dyDescent="0.45">
      <c r="A136" t="s">
        <v>14</v>
      </c>
    </row>
    <row r="137" spans="1:1" x14ac:dyDescent="0.45">
      <c r="A137" t="s">
        <v>15</v>
      </c>
    </row>
    <row r="138" spans="1:1" x14ac:dyDescent="0.45">
      <c r="A138" t="s">
        <v>16</v>
      </c>
    </row>
    <row r="139" spans="1:1" x14ac:dyDescent="0.45">
      <c r="A139" t="s">
        <v>17</v>
      </c>
    </row>
    <row r="140" spans="1:1" x14ac:dyDescent="0.45">
      <c r="A140" t="s">
        <v>18</v>
      </c>
    </row>
    <row r="141" spans="1:1" x14ac:dyDescent="0.45">
      <c r="A141" t="s">
        <v>19</v>
      </c>
    </row>
    <row r="142" spans="1:1" x14ac:dyDescent="0.45">
      <c r="A142" t="s">
        <v>20</v>
      </c>
    </row>
    <row r="143" spans="1:1" x14ac:dyDescent="0.45">
      <c r="A143" t="s">
        <v>21</v>
      </c>
    </row>
    <row r="144" spans="1:1" x14ac:dyDescent="0.45">
      <c r="A144" t="s">
        <v>22</v>
      </c>
    </row>
    <row r="145" spans="1:2" x14ac:dyDescent="0.45">
      <c r="A145" t="s">
        <v>23</v>
      </c>
    </row>
    <row r="146" spans="1:2" x14ac:dyDescent="0.45">
      <c r="A146" t="s">
        <v>24</v>
      </c>
    </row>
    <row r="147" spans="1:2" x14ac:dyDescent="0.45">
      <c r="A147" t="s">
        <v>25</v>
      </c>
    </row>
    <row r="148" spans="1:2" x14ac:dyDescent="0.45">
      <c r="A148" t="s">
        <v>8</v>
      </c>
    </row>
    <row r="150" spans="1:2" x14ac:dyDescent="0.45">
      <c r="A150" s="2" t="s">
        <v>28</v>
      </c>
    </row>
    <row r="152" spans="1:2" x14ac:dyDescent="0.45">
      <c r="A152" s="2" t="s">
        <v>29</v>
      </c>
    </row>
    <row r="153" spans="1:2" x14ac:dyDescent="0.45">
      <c r="A153" s="2"/>
    </row>
    <row r="154" spans="1:2" x14ac:dyDescent="0.45">
      <c r="A154" t="s">
        <v>30</v>
      </c>
      <c r="B154">
        <v>6</v>
      </c>
    </row>
    <row r="155" spans="1:2" x14ac:dyDescent="0.45">
      <c r="A155" t="s">
        <v>31</v>
      </c>
      <c r="B155">
        <v>5</v>
      </c>
    </row>
    <row r="156" spans="1:2" x14ac:dyDescent="0.45">
      <c r="A156" t="s">
        <v>32</v>
      </c>
      <c r="B156">
        <v>4</v>
      </c>
    </row>
    <row r="157" spans="1:2" x14ac:dyDescent="0.45">
      <c r="A157" t="s">
        <v>33</v>
      </c>
      <c r="B157">
        <v>3</v>
      </c>
    </row>
    <row r="158" spans="1:2" x14ac:dyDescent="0.45">
      <c r="A158" t="s">
        <v>34</v>
      </c>
      <c r="B158">
        <v>2</v>
      </c>
    </row>
    <row r="159" spans="1:2" x14ac:dyDescent="0.45">
      <c r="A159" t="s">
        <v>35</v>
      </c>
      <c r="B159">
        <v>1</v>
      </c>
    </row>
    <row r="161" spans="1:2" x14ac:dyDescent="0.45">
      <c r="A161" t="s">
        <v>36</v>
      </c>
    </row>
    <row r="163" spans="1:2" x14ac:dyDescent="0.45">
      <c r="A163" s="2" t="s">
        <v>78</v>
      </c>
    </row>
    <row r="164" spans="1:2" x14ac:dyDescent="0.45">
      <c r="A164" s="2"/>
    </row>
    <row r="165" spans="1:2" x14ac:dyDescent="0.45">
      <c r="A165" t="s">
        <v>38</v>
      </c>
    </row>
    <row r="166" spans="1:2" x14ac:dyDescent="0.45">
      <c r="A166" t="s">
        <v>39</v>
      </c>
    </row>
    <row r="167" spans="1:2" x14ac:dyDescent="0.45">
      <c r="A167" t="s">
        <v>40</v>
      </c>
    </row>
    <row r="168" spans="1:2" x14ac:dyDescent="0.45">
      <c r="A168" t="s">
        <v>41</v>
      </c>
    </row>
    <row r="170" spans="1:2" x14ac:dyDescent="0.45">
      <c r="A170" s="2" t="s">
        <v>37</v>
      </c>
    </row>
    <row r="171" spans="1:2" x14ac:dyDescent="0.45">
      <c r="A171" s="1" t="s">
        <v>42</v>
      </c>
    </row>
    <row r="172" spans="1:2" x14ac:dyDescent="0.45">
      <c r="A172" s="1"/>
    </row>
    <row r="173" spans="1:2" x14ac:dyDescent="0.45">
      <c r="A173" t="s">
        <v>63</v>
      </c>
      <c r="B173">
        <v>4</v>
      </c>
    </row>
    <row r="174" spans="1:2" x14ac:dyDescent="0.45">
      <c r="A174" t="s">
        <v>64</v>
      </c>
      <c r="B174">
        <v>3</v>
      </c>
    </row>
    <row r="175" spans="1:2" x14ac:dyDescent="0.45">
      <c r="A175" t="s">
        <v>65</v>
      </c>
      <c r="B175">
        <v>2</v>
      </c>
    </row>
    <row r="176" spans="1:2" x14ac:dyDescent="0.45">
      <c r="A176" t="s">
        <v>66</v>
      </c>
      <c r="B176">
        <v>1</v>
      </c>
    </row>
    <row r="177" spans="1:2" x14ac:dyDescent="0.45">
      <c r="A177" s="1" t="s">
        <v>67</v>
      </c>
    </row>
    <row r="178" spans="1:2" x14ac:dyDescent="0.45">
      <c r="A178" s="1"/>
    </row>
    <row r="179" spans="1:2" x14ac:dyDescent="0.45">
      <c r="A179" t="s">
        <v>68</v>
      </c>
      <c r="B179">
        <v>5</v>
      </c>
    </row>
    <row r="180" spans="1:2" x14ac:dyDescent="0.45">
      <c r="A180" t="s">
        <v>69</v>
      </c>
      <c r="B180">
        <v>4</v>
      </c>
    </row>
    <row r="181" spans="1:2" x14ac:dyDescent="0.45">
      <c r="A181" t="s">
        <v>77</v>
      </c>
      <c r="B181">
        <v>3</v>
      </c>
    </row>
    <row r="182" spans="1:2" x14ac:dyDescent="0.45">
      <c r="A182" t="s">
        <v>70</v>
      </c>
      <c r="B182">
        <v>2</v>
      </c>
    </row>
    <row r="183" spans="1:2" x14ac:dyDescent="0.45">
      <c r="A183" t="s">
        <v>66</v>
      </c>
      <c r="B183">
        <v>1</v>
      </c>
    </row>
    <row r="184" spans="1:2" x14ac:dyDescent="0.45">
      <c r="A184" s="1" t="s">
        <v>71</v>
      </c>
    </row>
    <row r="185" spans="1:2" x14ac:dyDescent="0.45">
      <c r="A185" s="1"/>
    </row>
    <row r="186" spans="1:2" x14ac:dyDescent="0.45">
      <c r="A186" t="s">
        <v>72</v>
      </c>
      <c r="B186">
        <v>6</v>
      </c>
    </row>
    <row r="187" spans="1:2" x14ac:dyDescent="0.45">
      <c r="A187" t="s">
        <v>73</v>
      </c>
      <c r="B187">
        <v>5</v>
      </c>
    </row>
    <row r="188" spans="1:2" x14ac:dyDescent="0.45">
      <c r="A188" t="s">
        <v>74</v>
      </c>
      <c r="B188">
        <v>4</v>
      </c>
    </row>
    <row r="189" spans="1:2" x14ac:dyDescent="0.45">
      <c r="A189" t="s">
        <v>75</v>
      </c>
      <c r="B189">
        <v>3</v>
      </c>
    </row>
    <row r="190" spans="1:2" x14ac:dyDescent="0.45">
      <c r="A190" t="s">
        <v>76</v>
      </c>
      <c r="B190">
        <v>2</v>
      </c>
    </row>
    <row r="191" spans="1:2" x14ac:dyDescent="0.45">
      <c r="A191" t="s">
        <v>66</v>
      </c>
      <c r="B191">
        <v>1</v>
      </c>
    </row>
    <row r="193" spans="1:5" x14ac:dyDescent="0.45">
      <c r="A193">
        <v>13</v>
      </c>
      <c r="B193" t="s">
        <v>79</v>
      </c>
    </row>
    <row r="194" spans="1:5" x14ac:dyDescent="0.45">
      <c r="A194">
        <v>9</v>
      </c>
      <c r="B194" t="s">
        <v>80</v>
      </c>
    </row>
    <row r="195" spans="1:5" x14ac:dyDescent="0.45">
      <c r="A195">
        <v>3</v>
      </c>
      <c r="B195" t="s">
        <v>81</v>
      </c>
    </row>
    <row r="197" spans="1:5" x14ac:dyDescent="0.45">
      <c r="A197" t="s">
        <v>43</v>
      </c>
    </row>
    <row r="198" spans="1:5" x14ac:dyDescent="0.45">
      <c r="A198" t="s">
        <v>44</v>
      </c>
    </row>
    <row r="199" spans="1:5" x14ac:dyDescent="0.45">
      <c r="A199" t="s">
        <v>45</v>
      </c>
      <c r="B199" t="s">
        <v>48</v>
      </c>
      <c r="C199" t="s">
        <v>52</v>
      </c>
      <c r="D199" t="s">
        <v>53</v>
      </c>
      <c r="E199" t="s">
        <v>54</v>
      </c>
    </row>
    <row r="200" spans="1:5" x14ac:dyDescent="0.45">
      <c r="A200" t="s">
        <v>46</v>
      </c>
    </row>
    <row r="201" spans="1:5" x14ac:dyDescent="0.45">
      <c r="A201" t="s">
        <v>47</v>
      </c>
    </row>
    <row r="202" spans="1:5" x14ac:dyDescent="0.45">
      <c r="A202" t="s">
        <v>49</v>
      </c>
    </row>
    <row r="203" spans="1:5" x14ac:dyDescent="0.45">
      <c r="A203" t="s">
        <v>50</v>
      </c>
    </row>
    <row r="204" spans="1:5" x14ac:dyDescent="0.45">
      <c r="A204" t="s">
        <v>51</v>
      </c>
    </row>
    <row r="205" spans="1:5" x14ac:dyDescent="0.45">
      <c r="A205" t="s">
        <v>55</v>
      </c>
    </row>
    <row r="206" spans="1:5" x14ac:dyDescent="0.45">
      <c r="A206" t="s">
        <v>56</v>
      </c>
    </row>
    <row r="207" spans="1:5" x14ac:dyDescent="0.45">
      <c r="A207" t="s">
        <v>57</v>
      </c>
    </row>
    <row r="208" spans="1:5" x14ac:dyDescent="0.45">
      <c r="A208" t="s">
        <v>58</v>
      </c>
    </row>
    <row r="209" spans="1:2" x14ac:dyDescent="0.45">
      <c r="A209" t="s">
        <v>59</v>
      </c>
    </row>
    <row r="210" spans="1:2" x14ac:dyDescent="0.45">
      <c r="A210" t="s">
        <v>60</v>
      </c>
    </row>
    <row r="211" spans="1:2" x14ac:dyDescent="0.45">
      <c r="A211" t="s">
        <v>61</v>
      </c>
    </row>
    <row r="212" spans="1:2" x14ac:dyDescent="0.45">
      <c r="A212" t="s">
        <v>62</v>
      </c>
    </row>
    <row r="214" spans="1:2" x14ac:dyDescent="0.45">
      <c r="A214" s="2" t="s">
        <v>82</v>
      </c>
    </row>
    <row r="215" spans="1:2" x14ac:dyDescent="0.45">
      <c r="A215" s="1" t="s">
        <v>83</v>
      </c>
    </row>
    <row r="216" spans="1:2" x14ac:dyDescent="0.45">
      <c r="A216" s="1"/>
    </row>
    <row r="217" spans="1:2" x14ac:dyDescent="0.45">
      <c r="A217" t="s">
        <v>84</v>
      </c>
      <c r="B217">
        <v>4</v>
      </c>
    </row>
    <row r="218" spans="1:2" x14ac:dyDescent="0.45">
      <c r="A218" t="s">
        <v>85</v>
      </c>
      <c r="B218">
        <v>3</v>
      </c>
    </row>
    <row r="219" spans="1:2" x14ac:dyDescent="0.45">
      <c r="A219" t="s">
        <v>86</v>
      </c>
      <c r="B219">
        <v>2</v>
      </c>
    </row>
    <row r="220" spans="1:2" x14ac:dyDescent="0.45">
      <c r="A220" t="s">
        <v>87</v>
      </c>
      <c r="B220">
        <v>1</v>
      </c>
    </row>
    <row r="221" spans="1:2" x14ac:dyDescent="0.45">
      <c r="A221" s="1" t="s">
        <v>88</v>
      </c>
    </row>
    <row r="222" spans="1:2" x14ac:dyDescent="0.45">
      <c r="A222" s="1"/>
    </row>
    <row r="223" spans="1:2" x14ac:dyDescent="0.45">
      <c r="A223" t="s">
        <v>89</v>
      </c>
      <c r="B223">
        <v>4</v>
      </c>
    </row>
    <row r="224" spans="1:2" x14ac:dyDescent="0.45">
      <c r="A224" t="s">
        <v>90</v>
      </c>
      <c r="B224">
        <v>3</v>
      </c>
    </row>
    <row r="225" spans="1:2" x14ac:dyDescent="0.45">
      <c r="A225" t="s">
        <v>86</v>
      </c>
      <c r="B225">
        <v>2</v>
      </c>
    </row>
    <row r="226" spans="1:2" x14ac:dyDescent="0.45">
      <c r="A226" t="s">
        <v>87</v>
      </c>
      <c r="B226">
        <v>1</v>
      </c>
    </row>
    <row r="227" spans="1:2" x14ac:dyDescent="0.45">
      <c r="A227" s="1" t="s">
        <v>91</v>
      </c>
    </row>
    <row r="228" spans="1:2" x14ac:dyDescent="0.45">
      <c r="A228" s="1"/>
    </row>
    <row r="229" spans="1:2" x14ac:dyDescent="0.45">
      <c r="A229" t="s">
        <v>92</v>
      </c>
      <c r="B229">
        <v>3</v>
      </c>
    </row>
    <row r="230" spans="1:2" x14ac:dyDescent="0.45">
      <c r="A230" t="s">
        <v>93</v>
      </c>
      <c r="B230">
        <v>2</v>
      </c>
    </row>
    <row r="231" spans="1:2" x14ac:dyDescent="0.45">
      <c r="A231" t="s">
        <v>66</v>
      </c>
      <c r="B231">
        <v>1</v>
      </c>
    </row>
    <row r="233" spans="1:2" x14ac:dyDescent="0.45">
      <c r="A233" t="s">
        <v>94</v>
      </c>
    </row>
    <row r="234" spans="1:2" x14ac:dyDescent="0.45">
      <c r="A234" t="s">
        <v>95</v>
      </c>
      <c r="B234">
        <v>1</v>
      </c>
    </row>
    <row r="235" spans="1:2" x14ac:dyDescent="0.45">
      <c r="A235" t="s">
        <v>96</v>
      </c>
      <c r="B235">
        <v>1</v>
      </c>
    </row>
    <row r="236" spans="1:2" x14ac:dyDescent="0.45">
      <c r="A236" t="s">
        <v>97</v>
      </c>
      <c r="B236">
        <v>1</v>
      </c>
    </row>
    <row r="237" spans="1:2" x14ac:dyDescent="0.45">
      <c r="A237" t="s">
        <v>98</v>
      </c>
      <c r="B237">
        <v>1</v>
      </c>
    </row>
    <row r="239" spans="1:2" x14ac:dyDescent="0.45">
      <c r="A239" s="2" t="s">
        <v>99</v>
      </c>
    </row>
    <row r="240" spans="1:2" x14ac:dyDescent="0.45">
      <c r="A240" s="1" t="s">
        <v>112</v>
      </c>
    </row>
    <row r="242" spans="1:1" x14ac:dyDescent="0.45">
      <c r="A242" t="s">
        <v>95</v>
      </c>
    </row>
    <row r="243" spans="1:1" x14ac:dyDescent="0.45">
      <c r="A243" t="s">
        <v>100</v>
      </c>
    </row>
    <row r="244" spans="1:1" x14ac:dyDescent="0.45">
      <c r="A244" t="s">
        <v>155</v>
      </c>
    </row>
    <row r="245" spans="1:1" x14ac:dyDescent="0.45">
      <c r="A245" t="s">
        <v>156</v>
      </c>
    </row>
    <row r="247" spans="1:1" x14ac:dyDescent="0.45">
      <c r="A247" s="1" t="s">
        <v>113</v>
      </c>
    </row>
    <row r="248" spans="1:1" x14ac:dyDescent="0.45">
      <c r="A248" s="1"/>
    </row>
    <row r="249" spans="1:1" x14ac:dyDescent="0.45">
      <c r="A249" t="s">
        <v>105</v>
      </c>
    </row>
    <row r="250" spans="1:1" x14ac:dyDescent="0.45">
      <c r="A250" t="s">
        <v>106</v>
      </c>
    </row>
    <row r="251" spans="1:1" x14ac:dyDescent="0.45">
      <c r="A251" t="s">
        <v>9</v>
      </c>
    </row>
    <row r="252" spans="1:1" x14ac:dyDescent="0.45">
      <c r="A252" s="1" t="s">
        <v>114</v>
      </c>
    </row>
    <row r="253" spans="1:1" x14ac:dyDescent="0.45">
      <c r="A253" s="1"/>
    </row>
    <row r="254" spans="1:1" x14ac:dyDescent="0.45">
      <c r="A254" t="s">
        <v>101</v>
      </c>
    </row>
    <row r="255" spans="1:1" x14ac:dyDescent="0.45">
      <c r="A255" t="s">
        <v>102</v>
      </c>
    </row>
    <row r="256" spans="1:1" x14ac:dyDescent="0.45">
      <c r="A256" t="s">
        <v>103</v>
      </c>
    </row>
    <row r="257" spans="1:1" x14ac:dyDescent="0.45">
      <c r="A257" t="s">
        <v>104</v>
      </c>
    </row>
    <row r="258" spans="1:1" x14ac:dyDescent="0.45">
      <c r="A258" t="s">
        <v>133</v>
      </c>
    </row>
    <row r="259" spans="1:1" x14ac:dyDescent="0.45">
      <c r="A259" t="s">
        <v>132</v>
      </c>
    </row>
    <row r="260" spans="1:1" x14ac:dyDescent="0.45">
      <c r="A260" t="s">
        <v>8</v>
      </c>
    </row>
    <row r="261" spans="1:1" x14ac:dyDescent="0.45">
      <c r="A261" s="1" t="s">
        <v>115</v>
      </c>
    </row>
    <row r="262" spans="1:1" x14ac:dyDescent="0.45">
      <c r="A262" s="1"/>
    </row>
    <row r="263" spans="1:1" x14ac:dyDescent="0.45">
      <c r="A263" t="s">
        <v>111</v>
      </c>
    </row>
    <row r="264" spans="1:1" x14ac:dyDescent="0.45">
      <c r="A264" t="s">
        <v>108</v>
      </c>
    </row>
    <row r="265" spans="1:1" x14ac:dyDescent="0.45">
      <c r="A265" t="s">
        <v>109</v>
      </c>
    </row>
    <row r="266" spans="1:1" x14ac:dyDescent="0.45">
      <c r="A266" t="s">
        <v>110</v>
      </c>
    </row>
    <row r="267" spans="1:1" x14ac:dyDescent="0.45">
      <c r="A267" s="1" t="s">
        <v>134</v>
      </c>
    </row>
    <row r="268" spans="1:1" x14ac:dyDescent="0.45">
      <c r="A268" s="1"/>
    </row>
    <row r="269" spans="1:1" x14ac:dyDescent="0.45">
      <c r="A269" t="s">
        <v>116</v>
      </c>
    </row>
    <row r="270" spans="1:1" x14ac:dyDescent="0.45">
      <c r="A270" t="s">
        <v>117</v>
      </c>
    </row>
    <row r="271" spans="1:1" x14ac:dyDescent="0.45">
      <c r="A271" t="s">
        <v>118</v>
      </c>
    </row>
    <row r="272" spans="1:1" x14ac:dyDescent="0.45">
      <c r="A272" t="s">
        <v>107</v>
      </c>
    </row>
    <row r="273" spans="1:1" x14ac:dyDescent="0.45">
      <c r="A273" s="2" t="s">
        <v>158</v>
      </c>
    </row>
    <row r="274" spans="1:1" x14ac:dyDescent="0.45">
      <c r="A274" s="2"/>
    </row>
    <row r="275" spans="1:1" x14ac:dyDescent="0.45">
      <c r="A275" t="s">
        <v>122</v>
      </c>
    </row>
    <row r="276" spans="1:1" x14ac:dyDescent="0.45">
      <c r="A276" t="s">
        <v>123</v>
      </c>
    </row>
    <row r="277" spans="1:1" x14ac:dyDescent="0.45">
      <c r="A277" t="s">
        <v>124</v>
      </c>
    </row>
    <row r="278" spans="1:1" x14ac:dyDescent="0.45">
      <c r="A278" t="s">
        <v>66</v>
      </c>
    </row>
    <row r="279" spans="1:1" x14ac:dyDescent="0.45">
      <c r="A279" s="2" t="s">
        <v>125</v>
      </c>
    </row>
    <row r="280" spans="1:1" x14ac:dyDescent="0.45">
      <c r="A280" s="2"/>
    </row>
    <row r="281" spans="1:1" x14ac:dyDescent="0.45">
      <c r="A281" s="3" t="s">
        <v>130</v>
      </c>
    </row>
    <row r="282" spans="1:1" x14ac:dyDescent="0.45">
      <c r="A282" s="3" t="s">
        <v>63</v>
      </c>
    </row>
    <row r="283" spans="1:1" x14ac:dyDescent="0.45">
      <c r="A283" s="3" t="s">
        <v>126</v>
      </c>
    </row>
    <row r="284" spans="1:1" x14ac:dyDescent="0.45">
      <c r="A284" s="3" t="s">
        <v>127</v>
      </c>
    </row>
    <row r="285" spans="1:1" x14ac:dyDescent="0.45">
      <c r="A285" s="3" t="s">
        <v>128</v>
      </c>
    </row>
    <row r="286" spans="1:1" x14ac:dyDescent="0.45">
      <c r="A286" s="3" t="s">
        <v>68</v>
      </c>
    </row>
    <row r="287" spans="1:1" x14ac:dyDescent="0.45">
      <c r="A287" s="3" t="s">
        <v>129</v>
      </c>
    </row>
    <row r="288" spans="1:1" x14ac:dyDescent="0.45">
      <c r="A288" s="2" t="s">
        <v>119</v>
      </c>
    </row>
    <row r="289" spans="1:1" x14ac:dyDescent="0.45">
      <c r="A289" s="2"/>
    </row>
    <row r="290" spans="1:1" x14ac:dyDescent="0.45">
      <c r="A290" t="s">
        <v>120</v>
      </c>
    </row>
    <row r="291" spans="1:1" x14ac:dyDescent="0.45">
      <c r="A291" t="s">
        <v>121</v>
      </c>
    </row>
    <row r="292" spans="1:1" x14ac:dyDescent="0.45">
      <c r="A292" s="2" t="s">
        <v>131</v>
      </c>
    </row>
    <row r="295" spans="1:1" x14ac:dyDescent="0.45">
      <c r="A295" s="2" t="s">
        <v>152</v>
      </c>
    </row>
    <row r="296" spans="1:1" x14ac:dyDescent="0.45">
      <c r="A296" s="2"/>
    </row>
    <row r="297" spans="1:1" x14ac:dyDescent="0.45">
      <c r="A297" t="s">
        <v>153</v>
      </c>
    </row>
    <row r="298" spans="1:1" x14ac:dyDescent="0.45">
      <c r="A298" t="s">
        <v>154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C0648-E518-4610-8343-AF6970E59A76}">
  <sheetPr codeName="Sheet3"/>
  <dimension ref="A1:I110"/>
  <sheetViews>
    <sheetView workbookViewId="0">
      <selection sqref="A1:A110"/>
    </sheetView>
  </sheetViews>
  <sheetFormatPr defaultRowHeight="14.25" x14ac:dyDescent="0.45"/>
  <cols>
    <col min="9" max="9" width="28.73046875" bestFit="1" customWidth="1"/>
  </cols>
  <sheetData>
    <row r="1" spans="1:9" x14ac:dyDescent="0.45">
      <c r="A1" t="s">
        <v>1</v>
      </c>
      <c r="I1" t="s">
        <v>26</v>
      </c>
    </row>
    <row r="2" spans="1:9" x14ac:dyDescent="0.45">
      <c r="A2">
        <v>0</v>
      </c>
      <c r="I2" t="s">
        <v>137</v>
      </c>
    </row>
    <row r="3" spans="1:9" x14ac:dyDescent="0.45">
      <c r="A3">
        <v>0</v>
      </c>
      <c r="I3" t="s">
        <v>27</v>
      </c>
    </row>
    <row r="4" spans="1:9" x14ac:dyDescent="0.45">
      <c r="A4">
        <v>0</v>
      </c>
      <c r="I4" t="s">
        <v>10</v>
      </c>
    </row>
    <row r="5" spans="1:9" x14ac:dyDescent="0.45">
      <c r="A5" t="b">
        <v>0</v>
      </c>
      <c r="I5" t="s">
        <v>159</v>
      </c>
    </row>
    <row r="6" spans="1:9" x14ac:dyDescent="0.45">
      <c r="A6" t="b">
        <v>0</v>
      </c>
      <c r="I6" t="s">
        <v>160</v>
      </c>
    </row>
    <row r="7" spans="1:9" x14ac:dyDescent="0.45">
      <c r="A7" t="b">
        <v>0</v>
      </c>
      <c r="I7" t="s">
        <v>161</v>
      </c>
    </row>
    <row r="8" spans="1:9" x14ac:dyDescent="0.45">
      <c r="A8" t="b">
        <v>0</v>
      </c>
      <c r="I8" t="s">
        <v>162</v>
      </c>
    </row>
    <row r="9" spans="1:9" x14ac:dyDescent="0.45">
      <c r="A9" t="b">
        <v>0</v>
      </c>
      <c r="I9" t="s">
        <v>163</v>
      </c>
    </row>
    <row r="10" spans="1:9" x14ac:dyDescent="0.45">
      <c r="A10" t="b">
        <v>0</v>
      </c>
      <c r="I10" t="s">
        <v>164</v>
      </c>
    </row>
    <row r="11" spans="1:9" x14ac:dyDescent="0.45">
      <c r="A11" t="b">
        <v>0</v>
      </c>
      <c r="I11" t="s">
        <v>165</v>
      </c>
    </row>
    <row r="12" spans="1:9" x14ac:dyDescent="0.45">
      <c r="A12" t="b">
        <v>0</v>
      </c>
      <c r="I12" t="s">
        <v>166</v>
      </c>
    </row>
    <row r="13" spans="1:9" x14ac:dyDescent="0.45">
      <c r="A13" t="b">
        <v>0</v>
      </c>
      <c r="I13" t="s">
        <v>167</v>
      </c>
    </row>
    <row r="14" spans="1:9" x14ac:dyDescent="0.45">
      <c r="A14" t="b">
        <v>0</v>
      </c>
      <c r="I14" t="s">
        <v>168</v>
      </c>
    </row>
    <row r="15" spans="1:9" x14ac:dyDescent="0.45">
      <c r="A15" t="b">
        <v>0</v>
      </c>
      <c r="I15" t="s">
        <v>169</v>
      </c>
    </row>
    <row r="16" spans="1:9" x14ac:dyDescent="0.45">
      <c r="A16" t="b">
        <v>0</v>
      </c>
      <c r="I16" t="s">
        <v>170</v>
      </c>
    </row>
    <row r="17" spans="1:9" x14ac:dyDescent="0.45">
      <c r="A17" t="b">
        <v>0</v>
      </c>
      <c r="F17" t="s">
        <v>150</v>
      </c>
      <c r="I17" t="s">
        <v>171</v>
      </c>
    </row>
    <row r="18" spans="1:9" x14ac:dyDescent="0.45">
      <c r="A18" t="b">
        <v>0</v>
      </c>
      <c r="I18" t="s">
        <v>172</v>
      </c>
    </row>
    <row r="19" spans="1:9" x14ac:dyDescent="0.45">
      <c r="A19" t="b">
        <v>0</v>
      </c>
      <c r="I19" t="s">
        <v>173</v>
      </c>
    </row>
    <row r="20" spans="1:9" x14ac:dyDescent="0.45">
      <c r="A20" t="b">
        <v>0</v>
      </c>
      <c r="I20" t="s">
        <v>174</v>
      </c>
    </row>
    <row r="21" spans="1:9" x14ac:dyDescent="0.45">
      <c r="A21" t="b">
        <v>0</v>
      </c>
      <c r="I21" t="s">
        <v>175</v>
      </c>
    </row>
    <row r="22" spans="1:9" x14ac:dyDescent="0.45">
      <c r="A22" t="b">
        <v>0</v>
      </c>
      <c r="I22" t="s">
        <v>176</v>
      </c>
    </row>
    <row r="23" spans="1:9" x14ac:dyDescent="0.45">
      <c r="A23" t="b">
        <v>0</v>
      </c>
      <c r="I23" t="s">
        <v>177</v>
      </c>
    </row>
    <row r="24" spans="1:9" x14ac:dyDescent="0.45">
      <c r="A24" t="b">
        <v>0</v>
      </c>
      <c r="I24" t="s">
        <v>178</v>
      </c>
    </row>
    <row r="25" spans="1:9" x14ac:dyDescent="0.45">
      <c r="A25" t="b">
        <v>0</v>
      </c>
      <c r="I25" t="s">
        <v>179</v>
      </c>
    </row>
    <row r="26" spans="1:9" x14ac:dyDescent="0.45">
      <c r="A26" t="b">
        <v>0</v>
      </c>
      <c r="I26" t="s">
        <v>180</v>
      </c>
    </row>
    <row r="27" spans="1:9" x14ac:dyDescent="0.45">
      <c r="A27" t="b">
        <v>0</v>
      </c>
      <c r="I27" t="s">
        <v>181</v>
      </c>
    </row>
    <row r="28" spans="1:9" x14ac:dyDescent="0.45">
      <c r="A28" t="b">
        <v>0</v>
      </c>
      <c r="I28" t="s">
        <v>182</v>
      </c>
    </row>
    <row r="29" spans="1:9" x14ac:dyDescent="0.45">
      <c r="A29" t="b">
        <v>0</v>
      </c>
      <c r="I29" t="s">
        <v>183</v>
      </c>
    </row>
    <row r="30" spans="1:9" x14ac:dyDescent="0.45">
      <c r="A30" t="b">
        <v>0</v>
      </c>
      <c r="I30" t="s">
        <v>184</v>
      </c>
    </row>
    <row r="31" spans="1:9" x14ac:dyDescent="0.45">
      <c r="A31" t="b">
        <v>0</v>
      </c>
      <c r="I31" t="s">
        <v>185</v>
      </c>
    </row>
    <row r="32" spans="1:9" x14ac:dyDescent="0.45">
      <c r="A32">
        <v>0</v>
      </c>
      <c r="I32" t="s">
        <v>213</v>
      </c>
    </row>
    <row r="33" spans="1:9" x14ac:dyDescent="0.45">
      <c r="A33" t="s">
        <v>150</v>
      </c>
      <c r="I33" t="s">
        <v>214</v>
      </c>
    </row>
    <row r="34" spans="1:9" x14ac:dyDescent="0.45">
      <c r="A34" t="s">
        <v>150</v>
      </c>
      <c r="I34" t="s">
        <v>215</v>
      </c>
    </row>
    <row r="35" spans="1:9" x14ac:dyDescent="0.45">
      <c r="A35">
        <v>0</v>
      </c>
      <c r="I35" t="s">
        <v>216</v>
      </c>
    </row>
    <row r="36" spans="1:9" x14ac:dyDescent="0.45">
      <c r="A36">
        <v>0</v>
      </c>
      <c r="I36" t="s">
        <v>217</v>
      </c>
    </row>
    <row r="37" spans="1:9" x14ac:dyDescent="0.45">
      <c r="A37">
        <v>0</v>
      </c>
      <c r="I37" t="s">
        <v>218</v>
      </c>
    </row>
    <row r="38" spans="1:9" x14ac:dyDescent="0.45">
      <c r="A38">
        <v>0</v>
      </c>
      <c r="I38" t="s">
        <v>219</v>
      </c>
    </row>
    <row r="39" spans="1:9" x14ac:dyDescent="0.45">
      <c r="A39">
        <v>0</v>
      </c>
      <c r="I39" t="s">
        <v>220</v>
      </c>
    </row>
    <row r="40" spans="1:9" x14ac:dyDescent="0.45">
      <c r="A40">
        <v>0</v>
      </c>
      <c r="I40" t="s">
        <v>245</v>
      </c>
    </row>
    <row r="41" spans="1:9" x14ac:dyDescent="0.45">
      <c r="A41">
        <v>0</v>
      </c>
      <c r="I41" t="s">
        <v>221</v>
      </c>
    </row>
    <row r="42" spans="1:9" x14ac:dyDescent="0.45">
      <c r="A42">
        <v>0</v>
      </c>
      <c r="I42" t="s">
        <v>222</v>
      </c>
    </row>
    <row r="43" spans="1:9" x14ac:dyDescent="0.45">
      <c r="A43">
        <v>0</v>
      </c>
      <c r="I43" t="s">
        <v>223</v>
      </c>
    </row>
    <row r="44" spans="1:9" x14ac:dyDescent="0.45">
      <c r="A44" t="b">
        <v>0</v>
      </c>
      <c r="I44" t="s">
        <v>224</v>
      </c>
    </row>
    <row r="45" spans="1:9" x14ac:dyDescent="0.45">
      <c r="A45" t="b">
        <v>0</v>
      </c>
      <c r="I45" t="s">
        <v>225</v>
      </c>
    </row>
    <row r="46" spans="1:9" x14ac:dyDescent="0.45">
      <c r="A46" t="b">
        <v>0</v>
      </c>
      <c r="I46" t="s">
        <v>226</v>
      </c>
    </row>
    <row r="47" spans="1:9" x14ac:dyDescent="0.45">
      <c r="A47" t="b">
        <v>0</v>
      </c>
      <c r="I47" t="s">
        <v>227</v>
      </c>
    </row>
    <row r="48" spans="1:9" x14ac:dyDescent="0.45">
      <c r="A48">
        <v>0</v>
      </c>
      <c r="I48" t="s">
        <v>228</v>
      </c>
    </row>
    <row r="49" spans="1:9" x14ac:dyDescent="0.45">
      <c r="A49">
        <v>0</v>
      </c>
      <c r="I49" t="s">
        <v>138</v>
      </c>
    </row>
    <row r="50" spans="1:9" x14ac:dyDescent="0.45">
      <c r="A50" t="s">
        <v>150</v>
      </c>
      <c r="I50" t="s">
        <v>151</v>
      </c>
    </row>
    <row r="51" spans="1:9" x14ac:dyDescent="0.45">
      <c r="A51">
        <v>0</v>
      </c>
      <c r="I51" t="s">
        <v>114</v>
      </c>
    </row>
    <row r="52" spans="1:9" x14ac:dyDescent="0.45">
      <c r="A52" t="s">
        <v>150</v>
      </c>
      <c r="I52" t="s">
        <v>157</v>
      </c>
    </row>
    <row r="53" spans="1:9" x14ac:dyDescent="0.45">
      <c r="A53">
        <v>0</v>
      </c>
      <c r="I53" t="s">
        <v>113</v>
      </c>
    </row>
    <row r="54" spans="1:9" x14ac:dyDescent="0.45">
      <c r="A54">
        <v>0</v>
      </c>
      <c r="I54" t="s">
        <v>115</v>
      </c>
    </row>
    <row r="55" spans="1:9" x14ac:dyDescent="0.45">
      <c r="A55">
        <v>0</v>
      </c>
      <c r="I55" t="s">
        <v>134</v>
      </c>
    </row>
    <row r="56" spans="1:9" x14ac:dyDescent="0.45">
      <c r="A56">
        <v>0</v>
      </c>
      <c r="I56" t="s">
        <v>158</v>
      </c>
    </row>
    <row r="57" spans="1:9" x14ac:dyDescent="0.45">
      <c r="A57" t="b">
        <v>0</v>
      </c>
      <c r="I57" t="s">
        <v>139</v>
      </c>
    </row>
    <row r="58" spans="1:9" x14ac:dyDescent="0.45">
      <c r="A58" t="b">
        <v>0</v>
      </c>
      <c r="I58" t="s">
        <v>140</v>
      </c>
    </row>
    <row r="59" spans="1:9" x14ac:dyDescent="0.45">
      <c r="A59" t="b">
        <v>0</v>
      </c>
      <c r="I59" t="s">
        <v>141</v>
      </c>
    </row>
    <row r="60" spans="1:9" x14ac:dyDescent="0.45">
      <c r="A60" t="b">
        <v>0</v>
      </c>
      <c r="I60" t="s">
        <v>142</v>
      </c>
    </row>
    <row r="61" spans="1:9" x14ac:dyDescent="0.45">
      <c r="A61" t="b">
        <v>0</v>
      </c>
      <c r="I61" t="s">
        <v>135</v>
      </c>
    </row>
    <row r="62" spans="1:9" x14ac:dyDescent="0.45">
      <c r="A62" t="s">
        <v>150</v>
      </c>
      <c r="I62" t="s">
        <v>143</v>
      </c>
    </row>
    <row r="63" spans="1:9" x14ac:dyDescent="0.45">
      <c r="A63" t="s">
        <v>150</v>
      </c>
      <c r="I63" t="s">
        <v>144</v>
      </c>
    </row>
    <row r="64" spans="1:9" x14ac:dyDescent="0.45">
      <c r="A64" t="s">
        <v>150</v>
      </c>
      <c r="I64" t="s">
        <v>145</v>
      </c>
    </row>
    <row r="65" spans="1:9" x14ac:dyDescent="0.45">
      <c r="A65" t="s">
        <v>150</v>
      </c>
      <c r="I65" t="s">
        <v>147</v>
      </c>
    </row>
    <row r="66" spans="1:9" x14ac:dyDescent="0.45">
      <c r="A66" t="s">
        <v>150</v>
      </c>
      <c r="I66" t="s">
        <v>148</v>
      </c>
    </row>
    <row r="67" spans="1:9" x14ac:dyDescent="0.45">
      <c r="A67" t="b">
        <v>0</v>
      </c>
      <c r="I67" t="s">
        <v>186</v>
      </c>
    </row>
    <row r="68" spans="1:9" x14ac:dyDescent="0.45">
      <c r="A68" t="b">
        <v>0</v>
      </c>
      <c r="I68" t="s">
        <v>187</v>
      </c>
    </row>
    <row r="69" spans="1:9" x14ac:dyDescent="0.45">
      <c r="A69" t="b">
        <v>0</v>
      </c>
      <c r="I69" t="s">
        <v>188</v>
      </c>
    </row>
    <row r="70" spans="1:9" x14ac:dyDescent="0.45">
      <c r="A70" t="b">
        <v>0</v>
      </c>
      <c r="I70" t="s">
        <v>189</v>
      </c>
    </row>
    <row r="71" spans="1:9" x14ac:dyDescent="0.45">
      <c r="A71" t="b">
        <v>0</v>
      </c>
      <c r="I71" t="s">
        <v>190</v>
      </c>
    </row>
    <row r="72" spans="1:9" x14ac:dyDescent="0.45">
      <c r="A72" t="b">
        <v>0</v>
      </c>
      <c r="I72" t="s">
        <v>191</v>
      </c>
    </row>
    <row r="73" spans="1:9" x14ac:dyDescent="0.45">
      <c r="A73" t="b">
        <v>0</v>
      </c>
      <c r="I73" t="s">
        <v>192</v>
      </c>
    </row>
    <row r="74" spans="1:9" x14ac:dyDescent="0.45">
      <c r="A74" t="b">
        <v>0</v>
      </c>
      <c r="I74" t="s">
        <v>193</v>
      </c>
    </row>
    <row r="75" spans="1:9" x14ac:dyDescent="0.45">
      <c r="A75" t="b">
        <v>0</v>
      </c>
      <c r="I75" t="s">
        <v>194</v>
      </c>
    </row>
    <row r="76" spans="1:9" x14ac:dyDescent="0.45">
      <c r="A76" t="b">
        <v>0</v>
      </c>
      <c r="I76" t="s">
        <v>195</v>
      </c>
    </row>
    <row r="77" spans="1:9" x14ac:dyDescent="0.45">
      <c r="A77" t="b">
        <v>0</v>
      </c>
      <c r="I77" t="s">
        <v>196</v>
      </c>
    </row>
    <row r="78" spans="1:9" x14ac:dyDescent="0.45">
      <c r="A78" t="b">
        <v>0</v>
      </c>
      <c r="I78" t="s">
        <v>197</v>
      </c>
    </row>
    <row r="79" spans="1:9" x14ac:dyDescent="0.45">
      <c r="A79" t="b">
        <v>0</v>
      </c>
      <c r="I79" t="s">
        <v>198</v>
      </c>
    </row>
    <row r="80" spans="1:9" x14ac:dyDescent="0.45">
      <c r="A80" t="b">
        <v>0</v>
      </c>
      <c r="I80" t="s">
        <v>199</v>
      </c>
    </row>
    <row r="81" spans="1:9" x14ac:dyDescent="0.45">
      <c r="A81" t="b">
        <v>0</v>
      </c>
      <c r="I81" t="s">
        <v>200</v>
      </c>
    </row>
    <row r="82" spans="1:9" x14ac:dyDescent="0.45">
      <c r="A82" t="b">
        <v>0</v>
      </c>
      <c r="I82" t="s">
        <v>201</v>
      </c>
    </row>
    <row r="83" spans="1:9" x14ac:dyDescent="0.45">
      <c r="A83" t="b">
        <v>0</v>
      </c>
      <c r="I83" t="s">
        <v>202</v>
      </c>
    </row>
    <row r="84" spans="1:9" x14ac:dyDescent="0.45">
      <c r="A84" t="b">
        <v>0</v>
      </c>
      <c r="I84" t="s">
        <v>203</v>
      </c>
    </row>
    <row r="85" spans="1:9" x14ac:dyDescent="0.45">
      <c r="A85" t="b">
        <v>0</v>
      </c>
      <c r="I85" t="s">
        <v>204</v>
      </c>
    </row>
    <row r="86" spans="1:9" x14ac:dyDescent="0.45">
      <c r="A86" t="b">
        <v>0</v>
      </c>
      <c r="I86" t="s">
        <v>205</v>
      </c>
    </row>
    <row r="87" spans="1:9" x14ac:dyDescent="0.45">
      <c r="A87" t="b">
        <v>0</v>
      </c>
      <c r="I87" t="s">
        <v>206</v>
      </c>
    </row>
    <row r="88" spans="1:9" x14ac:dyDescent="0.45">
      <c r="A88" t="b">
        <v>0</v>
      </c>
      <c r="I88" t="s">
        <v>207</v>
      </c>
    </row>
    <row r="89" spans="1:9" x14ac:dyDescent="0.45">
      <c r="A89" t="b">
        <v>0</v>
      </c>
      <c r="I89" t="s">
        <v>208</v>
      </c>
    </row>
    <row r="90" spans="1:9" x14ac:dyDescent="0.45">
      <c r="A90" t="b">
        <v>0</v>
      </c>
      <c r="I90" t="s">
        <v>209</v>
      </c>
    </row>
    <row r="91" spans="1:9" x14ac:dyDescent="0.45">
      <c r="A91" t="b">
        <v>0</v>
      </c>
      <c r="I91" t="s">
        <v>210</v>
      </c>
    </row>
    <row r="92" spans="1:9" x14ac:dyDescent="0.45">
      <c r="A92" t="b">
        <v>0</v>
      </c>
      <c r="I92" t="s">
        <v>211</v>
      </c>
    </row>
    <row r="93" spans="1:9" x14ac:dyDescent="0.45">
      <c r="A93" t="b">
        <v>0</v>
      </c>
      <c r="I93" t="s">
        <v>212</v>
      </c>
    </row>
    <row r="94" spans="1:9" x14ac:dyDescent="0.45">
      <c r="A94" t="s">
        <v>146</v>
      </c>
      <c r="I94" t="s">
        <v>230</v>
      </c>
    </row>
    <row r="95" spans="1:9" x14ac:dyDescent="0.45">
      <c r="A95">
        <v>0</v>
      </c>
      <c r="I95" t="s">
        <v>229</v>
      </c>
    </row>
    <row r="96" spans="1:9" x14ac:dyDescent="0.45">
      <c r="A96">
        <v>0</v>
      </c>
      <c r="I96" t="s">
        <v>231</v>
      </c>
    </row>
    <row r="97" spans="1:9" x14ac:dyDescent="0.45">
      <c r="A97">
        <v>0</v>
      </c>
      <c r="I97" t="s">
        <v>232</v>
      </c>
    </row>
    <row r="98" spans="1:9" x14ac:dyDescent="0.45">
      <c r="A98">
        <v>0</v>
      </c>
      <c r="I98" t="s">
        <v>233</v>
      </c>
    </row>
    <row r="99" spans="1:9" x14ac:dyDescent="0.45">
      <c r="A99">
        <v>0</v>
      </c>
      <c r="I99" t="s">
        <v>234</v>
      </c>
    </row>
    <row r="100" spans="1:9" x14ac:dyDescent="0.45">
      <c r="A100">
        <v>0</v>
      </c>
      <c r="I100" t="s">
        <v>235</v>
      </c>
    </row>
    <row r="101" spans="1:9" x14ac:dyDescent="0.45">
      <c r="A101">
        <v>0</v>
      </c>
      <c r="I101" t="s">
        <v>246</v>
      </c>
    </row>
    <row r="102" spans="1:9" x14ac:dyDescent="0.45">
      <c r="A102">
        <v>0</v>
      </c>
      <c r="I102" t="s">
        <v>236</v>
      </c>
    </row>
    <row r="103" spans="1:9" x14ac:dyDescent="0.45">
      <c r="A103">
        <v>0</v>
      </c>
      <c r="I103" t="s">
        <v>237</v>
      </c>
    </row>
    <row r="104" spans="1:9" x14ac:dyDescent="0.45">
      <c r="A104">
        <v>0</v>
      </c>
      <c r="I104" t="s">
        <v>238</v>
      </c>
    </row>
    <row r="105" spans="1:9" x14ac:dyDescent="0.45">
      <c r="A105" t="b">
        <v>0</v>
      </c>
      <c r="I105" t="s">
        <v>239</v>
      </c>
    </row>
    <row r="106" spans="1:9" x14ac:dyDescent="0.45">
      <c r="A106" t="b">
        <v>0</v>
      </c>
      <c r="I106" t="s">
        <v>240</v>
      </c>
    </row>
    <row r="107" spans="1:9" x14ac:dyDescent="0.45">
      <c r="A107" t="b">
        <v>0</v>
      </c>
      <c r="I107" t="s">
        <v>241</v>
      </c>
    </row>
    <row r="108" spans="1:9" x14ac:dyDescent="0.45">
      <c r="A108" t="b">
        <v>0</v>
      </c>
      <c r="I108" t="s">
        <v>242</v>
      </c>
    </row>
    <row r="109" spans="1:9" x14ac:dyDescent="0.45">
      <c r="A109">
        <v>0</v>
      </c>
      <c r="I109" t="s">
        <v>243</v>
      </c>
    </row>
    <row r="110" spans="1:9" x14ac:dyDescent="0.45">
      <c r="A110">
        <v>0</v>
      </c>
      <c r="I110" t="s">
        <v>152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52DC1-D12F-4287-8700-47DFF5B02DDE}">
  <sheetPr codeName="Sheet5"/>
  <dimension ref="A1:DH12"/>
  <sheetViews>
    <sheetView workbookViewId="0">
      <selection activeCell="C12" sqref="C12:DH12"/>
    </sheetView>
  </sheetViews>
  <sheetFormatPr defaultColWidth="9.1328125" defaultRowHeight="14.25" x14ac:dyDescent="0.45"/>
  <cols>
    <col min="1" max="1" width="14.86328125" style="5" bestFit="1" customWidth="1"/>
    <col min="2" max="2" width="14.86328125" style="5" customWidth="1"/>
    <col min="3" max="16384" width="9.1328125" style="5"/>
  </cols>
  <sheetData>
    <row r="1" spans="1:112" x14ac:dyDescent="0.45">
      <c r="A1" s="5" t="s">
        <v>136</v>
      </c>
      <c r="B1" s="5" t="s">
        <v>149</v>
      </c>
      <c r="C1" s="5" t="s">
        <v>26</v>
      </c>
      <c r="D1" s="5" t="s">
        <v>137</v>
      </c>
      <c r="E1" s="5" t="s">
        <v>27</v>
      </c>
      <c r="F1" s="5" t="s">
        <v>10</v>
      </c>
      <c r="G1" s="5" t="s">
        <v>159</v>
      </c>
      <c r="H1" s="5" t="s">
        <v>160</v>
      </c>
      <c r="I1" s="5" t="s">
        <v>161</v>
      </c>
      <c r="J1" s="5" t="s">
        <v>162</v>
      </c>
      <c r="K1" s="5" t="s">
        <v>163</v>
      </c>
      <c r="L1" s="5" t="s">
        <v>164</v>
      </c>
      <c r="M1" s="5" t="s">
        <v>165</v>
      </c>
      <c r="N1" s="5" t="s">
        <v>166</v>
      </c>
      <c r="O1" s="5" t="s">
        <v>167</v>
      </c>
      <c r="P1" s="5" t="s">
        <v>168</v>
      </c>
      <c r="Q1" s="5" t="s">
        <v>169</v>
      </c>
      <c r="R1" s="5" t="s">
        <v>170</v>
      </c>
      <c r="S1" s="5" t="s">
        <v>168</v>
      </c>
      <c r="T1" s="5" t="s">
        <v>172</v>
      </c>
      <c r="U1" s="5" t="s">
        <v>173</v>
      </c>
      <c r="V1" s="5" t="s">
        <v>174</v>
      </c>
      <c r="W1" s="5" t="s">
        <v>175</v>
      </c>
      <c r="X1" s="5" t="s">
        <v>176</v>
      </c>
      <c r="Y1" s="5" t="s">
        <v>177</v>
      </c>
      <c r="Z1" s="5" t="s">
        <v>178</v>
      </c>
      <c r="AA1" s="5" t="s">
        <v>179</v>
      </c>
      <c r="AB1" s="5" t="s">
        <v>180</v>
      </c>
      <c r="AC1" s="5" t="s">
        <v>181</v>
      </c>
      <c r="AD1" s="5" t="s">
        <v>182</v>
      </c>
      <c r="AE1" s="5" t="s">
        <v>183</v>
      </c>
      <c r="AF1" s="5" t="s">
        <v>184</v>
      </c>
      <c r="AG1" s="5" t="s">
        <v>185</v>
      </c>
      <c r="AH1" s="5" t="s">
        <v>213</v>
      </c>
      <c r="AI1" s="5" t="s">
        <v>214</v>
      </c>
      <c r="AJ1" s="5" t="s">
        <v>215</v>
      </c>
      <c r="AK1" s="5" t="s">
        <v>216</v>
      </c>
      <c r="AL1" s="5" t="s">
        <v>217</v>
      </c>
      <c r="AM1" s="5" t="s">
        <v>218</v>
      </c>
      <c r="AN1" s="5" t="s">
        <v>219</v>
      </c>
      <c r="AO1" s="5" t="s">
        <v>220</v>
      </c>
      <c r="AP1" s="5" t="s">
        <v>245</v>
      </c>
      <c r="AQ1" s="5" t="s">
        <v>221</v>
      </c>
      <c r="AR1" s="5" t="s">
        <v>222</v>
      </c>
      <c r="AS1" s="5" t="s">
        <v>223</v>
      </c>
      <c r="AT1" s="5" t="s">
        <v>224</v>
      </c>
      <c r="AU1" s="5" t="s">
        <v>225</v>
      </c>
      <c r="AV1" s="5" t="s">
        <v>226</v>
      </c>
      <c r="AW1" s="5" t="s">
        <v>227</v>
      </c>
      <c r="AX1" s="5" t="s">
        <v>228</v>
      </c>
      <c r="AY1" s="5" t="s">
        <v>138</v>
      </c>
      <c r="AZ1" s="5" t="s">
        <v>151</v>
      </c>
      <c r="BA1" s="5" t="s">
        <v>114</v>
      </c>
      <c r="BB1" s="5" t="s">
        <v>157</v>
      </c>
      <c r="BC1" s="5" t="s">
        <v>113</v>
      </c>
      <c r="BD1" s="5" t="s">
        <v>115</v>
      </c>
      <c r="BE1" s="5" t="s">
        <v>134</v>
      </c>
      <c r="BF1" s="5" t="s">
        <v>158</v>
      </c>
      <c r="BG1" s="5" t="s">
        <v>139</v>
      </c>
      <c r="BH1" s="5" t="s">
        <v>140</v>
      </c>
      <c r="BI1" s="5" t="s">
        <v>141</v>
      </c>
      <c r="BJ1" s="5" t="s">
        <v>142</v>
      </c>
      <c r="BK1" s="5" t="s">
        <v>135</v>
      </c>
      <c r="BL1" s="5" t="s">
        <v>143</v>
      </c>
      <c r="BM1" s="5" t="s">
        <v>144</v>
      </c>
      <c r="BN1" s="5" t="s">
        <v>145</v>
      </c>
      <c r="BO1" s="5" t="s">
        <v>147</v>
      </c>
      <c r="BP1" s="5" t="s">
        <v>148</v>
      </c>
      <c r="BQ1" s="5" t="s">
        <v>186</v>
      </c>
      <c r="BR1" s="5" t="s">
        <v>187</v>
      </c>
      <c r="BS1" s="5" t="s">
        <v>188</v>
      </c>
      <c r="BT1" s="5" t="s">
        <v>189</v>
      </c>
      <c r="BU1" s="5" t="s">
        <v>190</v>
      </c>
      <c r="BV1" s="5" t="s">
        <v>191</v>
      </c>
      <c r="BW1" s="5" t="s">
        <v>192</v>
      </c>
      <c r="BX1" s="5" t="s">
        <v>193</v>
      </c>
      <c r="BY1" s="5" t="s">
        <v>194</v>
      </c>
      <c r="BZ1" s="5" t="s">
        <v>195</v>
      </c>
      <c r="CA1" s="5" t="s">
        <v>196</v>
      </c>
      <c r="CB1" s="5" t="s">
        <v>197</v>
      </c>
      <c r="CC1" s="5" t="s">
        <v>198</v>
      </c>
      <c r="CD1" s="5" t="s">
        <v>199</v>
      </c>
      <c r="CE1" s="5" t="s">
        <v>200</v>
      </c>
      <c r="CF1" s="5" t="s">
        <v>201</v>
      </c>
      <c r="CG1" s="5" t="s">
        <v>202</v>
      </c>
      <c r="CH1" s="5" t="s">
        <v>203</v>
      </c>
      <c r="CI1" s="5" t="s">
        <v>204</v>
      </c>
      <c r="CJ1" s="5" t="s">
        <v>205</v>
      </c>
      <c r="CK1" s="5" t="s">
        <v>206</v>
      </c>
      <c r="CL1" s="5" t="s">
        <v>207</v>
      </c>
      <c r="CM1" s="5" t="s">
        <v>208</v>
      </c>
      <c r="CN1" s="5" t="s">
        <v>209</v>
      </c>
      <c r="CO1" s="5" t="s">
        <v>210</v>
      </c>
      <c r="CP1" s="5" t="s">
        <v>211</v>
      </c>
      <c r="CQ1" s="5" t="s">
        <v>212</v>
      </c>
      <c r="CR1" s="5" t="s">
        <v>230</v>
      </c>
      <c r="CS1" s="5" t="s">
        <v>229</v>
      </c>
      <c r="CT1" s="5" t="s">
        <v>231</v>
      </c>
      <c r="CU1" s="5" t="s">
        <v>232</v>
      </c>
      <c r="CV1" s="5" t="s">
        <v>233</v>
      </c>
      <c r="CW1" s="5" t="s">
        <v>234</v>
      </c>
      <c r="CX1" s="5" t="s">
        <v>235</v>
      </c>
      <c r="CY1" s="5" t="s">
        <v>246</v>
      </c>
      <c r="CZ1" s="5" t="s">
        <v>236</v>
      </c>
      <c r="DA1" s="5" t="s">
        <v>237</v>
      </c>
      <c r="DB1" s="5" t="s">
        <v>238</v>
      </c>
      <c r="DC1" s="5" t="s">
        <v>239</v>
      </c>
      <c r="DD1" s="5" t="s">
        <v>240</v>
      </c>
      <c r="DE1" s="5" t="s">
        <v>241</v>
      </c>
      <c r="DF1" s="5" t="s">
        <v>242</v>
      </c>
      <c r="DG1" s="5" t="s">
        <v>243</v>
      </c>
      <c r="DH1" s="5" t="s">
        <v>152</v>
      </c>
    </row>
    <row r="2" spans="1:112" x14ac:dyDescent="0.45">
      <c r="C2" s="5" t="s">
        <v>0</v>
      </c>
      <c r="D2" s="5">
        <v>0</v>
      </c>
      <c r="E2" s="5" t="s">
        <v>3</v>
      </c>
      <c r="F2" s="5" t="s">
        <v>12</v>
      </c>
      <c r="G2" s="5" t="b">
        <v>0</v>
      </c>
      <c r="H2" s="5" t="b">
        <v>0</v>
      </c>
      <c r="I2" s="5" t="b">
        <v>0</v>
      </c>
      <c r="J2" s="5" t="b">
        <v>0</v>
      </c>
      <c r="K2" s="5" t="b">
        <v>0</v>
      </c>
      <c r="L2" s="5" t="b">
        <v>0</v>
      </c>
      <c r="M2" s="5" t="b">
        <v>0</v>
      </c>
      <c r="N2" s="5" t="b">
        <v>0</v>
      </c>
      <c r="O2" s="5" t="b">
        <v>0</v>
      </c>
      <c r="P2" s="5" t="b">
        <v>0</v>
      </c>
      <c r="Q2" s="5" t="b">
        <v>0</v>
      </c>
      <c r="R2" s="5" t="b">
        <v>0</v>
      </c>
      <c r="S2" s="5" t="b">
        <v>0</v>
      </c>
      <c r="T2" s="5" t="b">
        <v>0</v>
      </c>
      <c r="U2" s="5" t="b">
        <v>0</v>
      </c>
      <c r="V2" s="5" t="b">
        <v>0</v>
      </c>
      <c r="W2" s="5" t="b">
        <v>0</v>
      </c>
      <c r="X2" s="5" t="b">
        <v>0</v>
      </c>
      <c r="Y2" s="5" t="b">
        <v>0</v>
      </c>
      <c r="Z2" s="5" t="b">
        <v>0</v>
      </c>
      <c r="AA2" s="5" t="b">
        <v>0</v>
      </c>
      <c r="AB2" s="5" t="b">
        <v>0</v>
      </c>
      <c r="AC2" s="5" t="b">
        <v>0</v>
      </c>
      <c r="AD2" s="5" t="b">
        <v>0</v>
      </c>
      <c r="AE2" s="5" t="b">
        <v>0</v>
      </c>
      <c r="AF2" s="5" t="b">
        <v>0</v>
      </c>
      <c r="AG2" s="5" t="b">
        <v>0</v>
      </c>
      <c r="AH2" s="5">
        <v>0</v>
      </c>
      <c r="AI2" s="5" t="s">
        <v>150</v>
      </c>
      <c r="AJ2" s="5" t="s">
        <v>150</v>
      </c>
      <c r="AK2" s="5">
        <v>0</v>
      </c>
      <c r="AL2" s="5">
        <v>0</v>
      </c>
      <c r="AM2" s="5">
        <v>0</v>
      </c>
      <c r="AN2" s="5">
        <v>0</v>
      </c>
      <c r="AO2" s="5">
        <v>0</v>
      </c>
      <c r="AP2" s="5">
        <v>0</v>
      </c>
      <c r="AQ2" s="5">
        <v>0</v>
      </c>
      <c r="AR2" s="5">
        <v>0</v>
      </c>
      <c r="AS2" s="5">
        <v>0</v>
      </c>
      <c r="AT2" s="5" t="b">
        <v>0</v>
      </c>
      <c r="AU2" s="5" t="b">
        <v>0</v>
      </c>
      <c r="AV2" s="5" t="b">
        <v>0</v>
      </c>
      <c r="AW2" s="5" t="b">
        <v>0</v>
      </c>
      <c r="AX2" s="5">
        <v>0</v>
      </c>
      <c r="AY2" s="5">
        <v>0</v>
      </c>
      <c r="AZ2" s="5" t="s">
        <v>150</v>
      </c>
      <c r="BA2" s="5">
        <v>0</v>
      </c>
      <c r="BB2" s="5" t="s">
        <v>150</v>
      </c>
      <c r="BC2" s="5">
        <v>0</v>
      </c>
      <c r="BD2" s="5">
        <v>0</v>
      </c>
      <c r="BE2" s="5">
        <v>0</v>
      </c>
      <c r="BF2" s="5">
        <v>0</v>
      </c>
      <c r="BG2" s="5" t="b">
        <v>0</v>
      </c>
      <c r="BH2" s="5" t="b">
        <v>0</v>
      </c>
      <c r="BI2" s="5" t="b">
        <v>0</v>
      </c>
      <c r="BJ2" s="5" t="b">
        <v>0</v>
      </c>
      <c r="BK2" s="5" t="b">
        <v>0</v>
      </c>
      <c r="BL2" s="5" t="s">
        <v>150</v>
      </c>
      <c r="BM2" s="5" t="s">
        <v>150</v>
      </c>
      <c r="BN2" s="5" t="s">
        <v>150</v>
      </c>
      <c r="BO2" s="5" t="s">
        <v>150</v>
      </c>
      <c r="BP2" s="5" t="s">
        <v>150</v>
      </c>
      <c r="BQ2" s="5" t="b">
        <v>0</v>
      </c>
      <c r="BR2" s="5" t="b">
        <v>0</v>
      </c>
      <c r="BS2" s="5" t="b">
        <v>0</v>
      </c>
      <c r="BT2" s="5" t="b">
        <v>0</v>
      </c>
      <c r="BU2" s="5" t="b">
        <v>0</v>
      </c>
      <c r="BV2" s="5" t="b">
        <v>0</v>
      </c>
      <c r="BW2" s="5" t="b">
        <v>0</v>
      </c>
      <c r="BX2" s="5" t="b">
        <v>0</v>
      </c>
      <c r="BY2" s="5" t="b">
        <v>0</v>
      </c>
      <c r="BZ2" s="5" t="b">
        <v>0</v>
      </c>
      <c r="CA2" s="5" t="b">
        <v>0</v>
      </c>
      <c r="CB2" s="5" t="b">
        <v>0</v>
      </c>
      <c r="CC2" s="5" t="b">
        <v>0</v>
      </c>
      <c r="CD2" s="5" t="b">
        <v>0</v>
      </c>
      <c r="CE2" s="5" t="b">
        <v>0</v>
      </c>
      <c r="CF2" s="5" t="b">
        <v>0</v>
      </c>
      <c r="CG2" s="5" t="b">
        <v>0</v>
      </c>
      <c r="CH2" s="5" t="b">
        <v>0</v>
      </c>
      <c r="CI2" s="5" t="b">
        <v>0</v>
      </c>
      <c r="CJ2" s="5" t="b">
        <v>0</v>
      </c>
      <c r="CK2" s="5" t="b">
        <v>0</v>
      </c>
      <c r="CL2" s="5" t="b">
        <v>0</v>
      </c>
      <c r="CM2" s="5" t="b">
        <v>0</v>
      </c>
      <c r="CN2" s="5" t="b">
        <v>0</v>
      </c>
      <c r="CO2" s="5" t="b">
        <v>0</v>
      </c>
      <c r="CP2" s="5" t="b">
        <v>0</v>
      </c>
      <c r="CQ2" s="5" t="b">
        <v>0</v>
      </c>
      <c r="CR2" s="5" t="s">
        <v>146</v>
      </c>
      <c r="CS2" s="5">
        <v>0</v>
      </c>
      <c r="CT2" s="5">
        <v>0</v>
      </c>
      <c r="CU2" s="5">
        <v>0</v>
      </c>
      <c r="CV2" s="5">
        <v>0</v>
      </c>
      <c r="CW2" s="5">
        <v>0</v>
      </c>
      <c r="CX2" s="5">
        <v>0</v>
      </c>
      <c r="CY2" s="5">
        <v>0</v>
      </c>
      <c r="CZ2" s="5">
        <v>0</v>
      </c>
      <c r="DA2" s="5">
        <v>0</v>
      </c>
      <c r="DB2" s="5">
        <v>0</v>
      </c>
      <c r="DC2" s="5" t="b">
        <v>0</v>
      </c>
      <c r="DD2" s="5" t="b">
        <v>0</v>
      </c>
      <c r="DE2" s="5" t="b">
        <v>0</v>
      </c>
      <c r="DF2" s="5" t="b">
        <v>0</v>
      </c>
      <c r="DG2" s="5">
        <v>0</v>
      </c>
      <c r="DH2" s="5">
        <v>0</v>
      </c>
    </row>
    <row r="3" spans="1:112" x14ac:dyDescent="0.45">
      <c r="C3" s="5" t="s">
        <v>0</v>
      </c>
      <c r="D3" s="5">
        <v>0</v>
      </c>
      <c r="E3" s="5" t="s">
        <v>3</v>
      </c>
      <c r="F3" s="5" t="s">
        <v>12</v>
      </c>
      <c r="G3" s="5" t="b">
        <v>0</v>
      </c>
      <c r="H3" s="5" t="b">
        <v>0</v>
      </c>
      <c r="I3" s="5" t="b">
        <v>0</v>
      </c>
      <c r="J3" s="5" t="b">
        <v>0</v>
      </c>
      <c r="K3" s="5" t="b">
        <v>0</v>
      </c>
      <c r="L3" s="5" t="b">
        <v>0</v>
      </c>
      <c r="M3" s="5" t="b">
        <v>0</v>
      </c>
      <c r="N3" s="5" t="b">
        <v>0</v>
      </c>
      <c r="O3" s="5" t="b">
        <v>0</v>
      </c>
      <c r="P3" s="5" t="b">
        <v>0</v>
      </c>
      <c r="Q3" s="5" t="b">
        <v>0</v>
      </c>
      <c r="R3" s="5" t="b">
        <v>0</v>
      </c>
      <c r="S3" s="5" t="b">
        <v>0</v>
      </c>
      <c r="T3" s="5" t="b">
        <v>0</v>
      </c>
      <c r="U3" s="5" t="b">
        <v>0</v>
      </c>
      <c r="V3" s="5" t="b">
        <v>0</v>
      </c>
      <c r="W3" s="5" t="b">
        <v>0</v>
      </c>
      <c r="X3" s="5" t="b">
        <v>0</v>
      </c>
      <c r="Y3" s="5" t="b">
        <v>0</v>
      </c>
      <c r="Z3" s="5" t="b">
        <v>0</v>
      </c>
      <c r="AA3" s="5" t="b">
        <v>0</v>
      </c>
      <c r="AB3" s="5" t="b">
        <v>0</v>
      </c>
      <c r="AC3" s="5" t="b">
        <v>0</v>
      </c>
      <c r="AD3" s="5" t="b">
        <v>0</v>
      </c>
      <c r="AE3" s="5" t="b">
        <v>0</v>
      </c>
      <c r="AF3" s="5" t="b">
        <v>0</v>
      </c>
      <c r="AG3" s="5" t="b">
        <v>0</v>
      </c>
      <c r="AH3" s="5">
        <v>0</v>
      </c>
      <c r="AI3" s="5" t="s">
        <v>150</v>
      </c>
      <c r="AJ3" s="5" t="s">
        <v>150</v>
      </c>
      <c r="AK3" s="5">
        <v>0</v>
      </c>
      <c r="AL3" s="5">
        <v>0</v>
      </c>
      <c r="AM3" s="5">
        <v>0</v>
      </c>
      <c r="AN3" s="5">
        <v>0</v>
      </c>
      <c r="AO3" s="5">
        <v>0</v>
      </c>
      <c r="AP3" s="5">
        <v>0</v>
      </c>
      <c r="AQ3" s="5">
        <v>0</v>
      </c>
      <c r="AR3" s="5">
        <v>0</v>
      </c>
      <c r="AS3" s="5">
        <v>0</v>
      </c>
      <c r="AT3" s="5" t="b">
        <v>0</v>
      </c>
      <c r="AU3" s="5" t="b">
        <v>0</v>
      </c>
      <c r="AV3" s="5" t="b">
        <v>0</v>
      </c>
      <c r="AW3" s="5" t="b">
        <v>0</v>
      </c>
      <c r="AX3" s="5">
        <v>0</v>
      </c>
      <c r="AY3" s="5">
        <v>0</v>
      </c>
      <c r="AZ3" s="5" t="s">
        <v>150</v>
      </c>
      <c r="BA3" s="5">
        <v>0</v>
      </c>
      <c r="BB3" s="5" t="s">
        <v>150</v>
      </c>
      <c r="BC3" s="5">
        <v>0</v>
      </c>
      <c r="BD3" s="5">
        <v>0</v>
      </c>
      <c r="BE3" s="5">
        <v>0</v>
      </c>
      <c r="BF3" s="5">
        <v>0</v>
      </c>
      <c r="BG3" s="5" t="b">
        <v>0</v>
      </c>
      <c r="BH3" s="5" t="b">
        <v>0</v>
      </c>
      <c r="BI3" s="5" t="b">
        <v>0</v>
      </c>
      <c r="BJ3" s="5" t="b">
        <v>0</v>
      </c>
      <c r="BK3" s="5" t="b">
        <v>0</v>
      </c>
      <c r="BL3" s="5" t="s">
        <v>150</v>
      </c>
      <c r="BM3" s="5" t="s">
        <v>150</v>
      </c>
      <c r="BN3" s="5" t="s">
        <v>150</v>
      </c>
      <c r="BO3" s="5" t="s">
        <v>150</v>
      </c>
      <c r="BP3" s="5" t="s">
        <v>150</v>
      </c>
      <c r="BQ3" s="5" t="b">
        <v>0</v>
      </c>
      <c r="BR3" s="5" t="b">
        <v>0</v>
      </c>
      <c r="BS3" s="5" t="b">
        <v>0</v>
      </c>
      <c r="BT3" s="5" t="b">
        <v>0</v>
      </c>
      <c r="BU3" s="5" t="b">
        <v>0</v>
      </c>
      <c r="BV3" s="5" t="b">
        <v>0</v>
      </c>
      <c r="BW3" s="5" t="b">
        <v>0</v>
      </c>
      <c r="BX3" s="5" t="b">
        <v>0</v>
      </c>
      <c r="BY3" s="5" t="b">
        <v>0</v>
      </c>
      <c r="BZ3" s="5" t="b">
        <v>0</v>
      </c>
      <c r="CA3" s="5" t="b">
        <v>0</v>
      </c>
      <c r="CB3" s="5" t="b">
        <v>0</v>
      </c>
      <c r="CC3" s="5" t="b">
        <v>0</v>
      </c>
      <c r="CD3" s="5" t="b">
        <v>0</v>
      </c>
      <c r="CE3" s="5" t="b">
        <v>0</v>
      </c>
      <c r="CF3" s="5" t="b">
        <v>0</v>
      </c>
      <c r="CG3" s="5" t="b">
        <v>0</v>
      </c>
      <c r="CH3" s="5" t="b">
        <v>0</v>
      </c>
      <c r="CI3" s="5" t="b">
        <v>0</v>
      </c>
      <c r="CJ3" s="5" t="b">
        <v>0</v>
      </c>
      <c r="CK3" s="5" t="b">
        <v>0</v>
      </c>
      <c r="CL3" s="5" t="b">
        <v>0</v>
      </c>
      <c r="CM3" s="5" t="b">
        <v>0</v>
      </c>
      <c r="CN3" s="5" t="b">
        <v>0</v>
      </c>
      <c r="CO3" s="5" t="b">
        <v>0</v>
      </c>
      <c r="CP3" s="5" t="b">
        <v>0</v>
      </c>
      <c r="CQ3" s="5" t="b">
        <v>0</v>
      </c>
      <c r="CR3" s="5" t="s">
        <v>146</v>
      </c>
      <c r="CS3" s="5">
        <v>0</v>
      </c>
      <c r="CT3" s="5">
        <v>0</v>
      </c>
      <c r="CU3" s="5">
        <v>0</v>
      </c>
      <c r="CV3" s="5">
        <v>0</v>
      </c>
      <c r="CW3" s="5">
        <v>0</v>
      </c>
      <c r="CX3" s="5">
        <v>0</v>
      </c>
      <c r="CY3" s="5">
        <v>0</v>
      </c>
      <c r="CZ3" s="5">
        <v>0</v>
      </c>
      <c r="DA3" s="5">
        <v>0</v>
      </c>
      <c r="DB3" s="5">
        <v>0</v>
      </c>
      <c r="DC3" s="5" t="b">
        <v>0</v>
      </c>
      <c r="DD3" s="5" t="b">
        <v>0</v>
      </c>
      <c r="DE3" s="5" t="b">
        <v>0</v>
      </c>
      <c r="DF3" s="5" t="b">
        <v>0</v>
      </c>
      <c r="DG3" s="5">
        <v>0</v>
      </c>
      <c r="DH3" s="5">
        <v>0</v>
      </c>
    </row>
    <row r="4" spans="1:112" x14ac:dyDescent="0.45">
      <c r="C4" s="5" t="s">
        <v>1</v>
      </c>
      <c r="D4" s="5" t="s">
        <v>249</v>
      </c>
      <c r="E4" s="5" t="s">
        <v>6</v>
      </c>
      <c r="F4" s="5" t="s">
        <v>15</v>
      </c>
      <c r="G4" s="5" t="b">
        <v>1</v>
      </c>
      <c r="H4" s="5" t="b">
        <v>0</v>
      </c>
      <c r="I4" s="5" t="b">
        <v>0</v>
      </c>
      <c r="J4" s="5" t="b">
        <v>1</v>
      </c>
      <c r="K4" s="5" t="b">
        <v>0</v>
      </c>
      <c r="L4" s="5" t="b">
        <v>0</v>
      </c>
      <c r="M4" s="5" t="b">
        <v>0</v>
      </c>
      <c r="N4" s="5" t="b">
        <v>0</v>
      </c>
      <c r="O4" s="5" t="b">
        <v>0</v>
      </c>
      <c r="P4" s="5" t="b">
        <v>0</v>
      </c>
      <c r="Q4" s="5" t="b">
        <v>1</v>
      </c>
      <c r="R4" s="5" t="b">
        <v>0</v>
      </c>
      <c r="S4" s="5" t="b">
        <v>0</v>
      </c>
      <c r="T4" s="5" t="b">
        <v>1</v>
      </c>
      <c r="U4" s="5" t="b">
        <v>0</v>
      </c>
      <c r="V4" s="5" t="b">
        <v>0</v>
      </c>
      <c r="W4" s="5" t="b">
        <v>0</v>
      </c>
      <c r="X4" s="5" t="b">
        <v>0</v>
      </c>
      <c r="Y4" s="5" t="b">
        <v>0</v>
      </c>
      <c r="Z4" s="5" t="b">
        <v>0</v>
      </c>
      <c r="AA4" s="5" t="b">
        <v>0</v>
      </c>
      <c r="AB4" s="5" t="b">
        <v>0</v>
      </c>
      <c r="AC4" s="5" t="b">
        <v>1</v>
      </c>
      <c r="AD4" s="5" t="b">
        <v>0</v>
      </c>
      <c r="AE4" s="5" t="b">
        <v>0</v>
      </c>
      <c r="AF4" s="5" t="b">
        <v>1</v>
      </c>
      <c r="AG4" s="5" t="b">
        <v>0</v>
      </c>
      <c r="AH4" s="5" t="s">
        <v>31</v>
      </c>
      <c r="AI4" s="5" t="s">
        <v>248</v>
      </c>
      <c r="AJ4" s="5" t="s">
        <v>251</v>
      </c>
      <c r="AK4" s="5" t="s">
        <v>64</v>
      </c>
      <c r="AL4" s="5" t="s">
        <v>69</v>
      </c>
      <c r="AM4" s="5" t="s">
        <v>72</v>
      </c>
      <c r="AN4" s="5">
        <v>0</v>
      </c>
      <c r="AO4" s="5">
        <v>0</v>
      </c>
      <c r="AP4" s="5" t="s">
        <v>63</v>
      </c>
      <c r="AQ4" s="5" t="s">
        <v>85</v>
      </c>
      <c r="AR4" s="5" t="s">
        <v>89</v>
      </c>
      <c r="AS4" s="5" t="s">
        <v>92</v>
      </c>
      <c r="AT4" s="5" t="b">
        <v>1</v>
      </c>
      <c r="AU4" s="5" t="b">
        <v>1</v>
      </c>
      <c r="AV4" s="5" t="b">
        <v>1</v>
      </c>
      <c r="AW4" s="5" t="b">
        <v>0</v>
      </c>
      <c r="AX4" s="5">
        <v>3</v>
      </c>
      <c r="AY4" s="5" t="s">
        <v>95</v>
      </c>
      <c r="AZ4" s="5" t="s">
        <v>247</v>
      </c>
      <c r="BA4" s="5" t="s">
        <v>102</v>
      </c>
      <c r="BB4" s="5" t="s">
        <v>247</v>
      </c>
      <c r="BC4" s="5" t="s">
        <v>105</v>
      </c>
      <c r="BD4" s="5" t="s">
        <v>111</v>
      </c>
      <c r="BE4" s="5" t="s">
        <v>118</v>
      </c>
      <c r="BF4" s="5" t="s">
        <v>123</v>
      </c>
      <c r="BG4" s="5" t="b">
        <v>1</v>
      </c>
      <c r="BH4" s="5" t="b">
        <v>1</v>
      </c>
      <c r="BI4" s="5" t="b">
        <v>1</v>
      </c>
      <c r="BJ4" s="5" t="b">
        <v>1</v>
      </c>
      <c r="BK4" s="5" t="b">
        <v>1</v>
      </c>
      <c r="BL4" s="5" t="s">
        <v>252</v>
      </c>
      <c r="BM4" s="5" t="s">
        <v>252</v>
      </c>
      <c r="BN4" s="5" t="s">
        <v>252</v>
      </c>
      <c r="BO4" s="5" t="s">
        <v>247</v>
      </c>
      <c r="BP4" s="5" t="s">
        <v>250</v>
      </c>
      <c r="BQ4" s="5" t="b">
        <v>1</v>
      </c>
      <c r="BR4" s="5" t="b">
        <v>0</v>
      </c>
      <c r="BS4" s="5" t="b">
        <v>0</v>
      </c>
      <c r="BT4" s="5" t="b">
        <v>1</v>
      </c>
      <c r="BU4" s="5" t="b">
        <v>0</v>
      </c>
      <c r="BV4" s="5" t="b">
        <v>0</v>
      </c>
      <c r="BW4" s="5" t="b">
        <v>1</v>
      </c>
      <c r="BX4" s="5" t="b">
        <v>0</v>
      </c>
      <c r="BY4" s="5" t="b">
        <v>1</v>
      </c>
      <c r="BZ4" s="5" t="b">
        <v>0</v>
      </c>
      <c r="CA4" s="5" t="b">
        <v>0</v>
      </c>
      <c r="CB4" s="5" t="b">
        <v>0</v>
      </c>
      <c r="CC4" s="5" t="b">
        <v>0</v>
      </c>
      <c r="CD4" s="5" t="b">
        <v>0</v>
      </c>
      <c r="CE4" s="5" t="b">
        <v>0</v>
      </c>
      <c r="CF4" s="5" t="b">
        <v>1</v>
      </c>
      <c r="CG4" s="5" t="b">
        <v>0</v>
      </c>
      <c r="CH4" s="5" t="b">
        <v>1</v>
      </c>
      <c r="CI4" s="5" t="b">
        <v>0</v>
      </c>
      <c r="CJ4" s="5" t="b">
        <v>0</v>
      </c>
      <c r="CK4" s="5" t="b">
        <v>0</v>
      </c>
      <c r="CL4" s="5" t="b">
        <v>0</v>
      </c>
      <c r="CM4" s="5" t="b">
        <v>0</v>
      </c>
      <c r="CN4" s="5" t="b">
        <v>0</v>
      </c>
      <c r="CO4" s="5" t="b">
        <v>0</v>
      </c>
      <c r="CP4" s="5" t="b">
        <v>0</v>
      </c>
      <c r="CQ4" s="5" t="b">
        <v>0</v>
      </c>
      <c r="CR4" s="5" t="s">
        <v>244</v>
      </c>
      <c r="CS4" s="5" t="s">
        <v>34</v>
      </c>
      <c r="CT4" s="5" t="s">
        <v>63</v>
      </c>
      <c r="CU4" s="5" t="s">
        <v>68</v>
      </c>
      <c r="CV4" s="5" t="s">
        <v>73</v>
      </c>
      <c r="CW4" s="5">
        <v>0</v>
      </c>
      <c r="CX4" s="5">
        <v>0</v>
      </c>
      <c r="CY4" s="5" t="s">
        <v>128</v>
      </c>
      <c r="CZ4" s="5" t="s">
        <v>85</v>
      </c>
      <c r="DA4" s="5" t="s">
        <v>90</v>
      </c>
      <c r="DB4" s="5" t="s">
        <v>92</v>
      </c>
      <c r="DC4" s="5" t="b">
        <v>1</v>
      </c>
      <c r="DD4" s="5" t="b">
        <v>1</v>
      </c>
      <c r="DE4" s="5" t="b">
        <v>1</v>
      </c>
      <c r="DF4" s="5" t="b">
        <v>0</v>
      </c>
      <c r="DG4" s="5">
        <v>3</v>
      </c>
      <c r="DH4" s="5" t="s">
        <v>154</v>
      </c>
    </row>
    <row r="5" spans="1:112" x14ac:dyDescent="0.45">
      <c r="C5" s="5" t="s">
        <v>1</v>
      </c>
      <c r="D5" s="5" t="s">
        <v>249</v>
      </c>
      <c r="E5" s="5" t="s">
        <v>6</v>
      </c>
      <c r="F5" s="5" t="s">
        <v>15</v>
      </c>
      <c r="G5" s="5" t="b">
        <v>1</v>
      </c>
      <c r="H5" s="5" t="b">
        <v>0</v>
      </c>
      <c r="I5" s="5" t="b">
        <v>0</v>
      </c>
      <c r="J5" s="5" t="b">
        <v>1</v>
      </c>
      <c r="K5" s="5" t="b">
        <v>0</v>
      </c>
      <c r="L5" s="5" t="b">
        <v>0</v>
      </c>
      <c r="M5" s="5" t="b">
        <v>0</v>
      </c>
      <c r="N5" s="5" t="b">
        <v>0</v>
      </c>
      <c r="O5" s="5" t="b">
        <v>0</v>
      </c>
      <c r="P5" s="5" t="b">
        <v>0</v>
      </c>
      <c r="Q5" s="5" t="b">
        <v>1</v>
      </c>
      <c r="R5" s="5" t="b">
        <v>0</v>
      </c>
      <c r="S5" s="5" t="b">
        <v>0</v>
      </c>
      <c r="T5" s="5" t="b">
        <v>1</v>
      </c>
      <c r="U5" s="5" t="b">
        <v>0</v>
      </c>
      <c r="V5" s="5" t="b">
        <v>0</v>
      </c>
      <c r="W5" s="5" t="b">
        <v>0</v>
      </c>
      <c r="X5" s="5" t="b">
        <v>0</v>
      </c>
      <c r="Y5" s="5" t="b">
        <v>0</v>
      </c>
      <c r="Z5" s="5" t="b">
        <v>0</v>
      </c>
      <c r="AA5" s="5" t="b">
        <v>0</v>
      </c>
      <c r="AB5" s="5" t="b">
        <v>0</v>
      </c>
      <c r="AC5" s="5" t="b">
        <v>1</v>
      </c>
      <c r="AD5" s="5" t="b">
        <v>0</v>
      </c>
      <c r="AE5" s="5" t="b">
        <v>0</v>
      </c>
      <c r="AF5" s="5" t="b">
        <v>1</v>
      </c>
      <c r="AG5" s="5" t="b">
        <v>0</v>
      </c>
      <c r="AH5" s="5" t="s">
        <v>31</v>
      </c>
      <c r="AI5" s="5" t="s">
        <v>248</v>
      </c>
      <c r="AJ5" s="5" t="s">
        <v>251</v>
      </c>
      <c r="AK5" s="5" t="s">
        <v>64</v>
      </c>
      <c r="AL5" s="5" t="s">
        <v>69</v>
      </c>
      <c r="AM5" s="5" t="s">
        <v>72</v>
      </c>
      <c r="AN5" s="5">
        <v>0</v>
      </c>
      <c r="AO5" s="5">
        <v>0</v>
      </c>
      <c r="AP5" s="5" t="s">
        <v>63</v>
      </c>
      <c r="AQ5" s="5" t="s">
        <v>85</v>
      </c>
      <c r="AR5" s="5" t="s">
        <v>89</v>
      </c>
      <c r="AS5" s="5" t="s">
        <v>92</v>
      </c>
      <c r="AT5" s="5" t="b">
        <v>1</v>
      </c>
      <c r="AU5" s="5" t="b">
        <v>1</v>
      </c>
      <c r="AV5" s="5" t="b">
        <v>1</v>
      </c>
      <c r="AW5" s="5" t="b">
        <v>0</v>
      </c>
      <c r="AX5" s="5">
        <v>3</v>
      </c>
      <c r="AY5" s="5" t="s">
        <v>95</v>
      </c>
      <c r="AZ5" s="5" t="s">
        <v>247</v>
      </c>
      <c r="BA5" s="5" t="s">
        <v>102</v>
      </c>
      <c r="BB5" s="5" t="s">
        <v>247</v>
      </c>
      <c r="BC5" s="5" t="s">
        <v>105</v>
      </c>
      <c r="BD5" s="5" t="s">
        <v>111</v>
      </c>
      <c r="BE5" s="5" t="s">
        <v>118</v>
      </c>
      <c r="BF5" s="5" t="s">
        <v>123</v>
      </c>
      <c r="BG5" s="5" t="b">
        <v>1</v>
      </c>
      <c r="BH5" s="5" t="b">
        <v>1</v>
      </c>
      <c r="BI5" s="5" t="b">
        <v>1</v>
      </c>
      <c r="BJ5" s="5" t="b">
        <v>1</v>
      </c>
      <c r="BK5" s="5" t="b">
        <v>1</v>
      </c>
      <c r="BL5" s="5" t="s">
        <v>252</v>
      </c>
      <c r="BM5" s="5" t="s">
        <v>252</v>
      </c>
      <c r="BN5" s="5" t="s">
        <v>252</v>
      </c>
      <c r="BO5" s="5" t="s">
        <v>247</v>
      </c>
      <c r="BP5" s="5" t="s">
        <v>250</v>
      </c>
      <c r="BQ5" s="5" t="b">
        <v>1</v>
      </c>
      <c r="BR5" s="5" t="b">
        <v>0</v>
      </c>
      <c r="BS5" s="5" t="b">
        <v>0</v>
      </c>
      <c r="BT5" s="5" t="b">
        <v>1</v>
      </c>
      <c r="BU5" s="5" t="b">
        <v>0</v>
      </c>
      <c r="BV5" s="5" t="b">
        <v>0</v>
      </c>
      <c r="BW5" s="5" t="b">
        <v>1</v>
      </c>
      <c r="BX5" s="5" t="b">
        <v>0</v>
      </c>
      <c r="BY5" s="5" t="b">
        <v>1</v>
      </c>
      <c r="BZ5" s="5" t="b">
        <v>0</v>
      </c>
      <c r="CA5" s="5" t="b">
        <v>0</v>
      </c>
      <c r="CB5" s="5" t="b">
        <v>0</v>
      </c>
      <c r="CC5" s="5" t="b">
        <v>0</v>
      </c>
      <c r="CD5" s="5" t="b">
        <v>0</v>
      </c>
      <c r="CE5" s="5" t="b">
        <v>0</v>
      </c>
      <c r="CF5" s="5" t="b">
        <v>1</v>
      </c>
      <c r="CG5" s="5" t="b">
        <v>0</v>
      </c>
      <c r="CH5" s="5" t="b">
        <v>1</v>
      </c>
      <c r="CI5" s="5" t="b">
        <v>0</v>
      </c>
      <c r="CJ5" s="5" t="b">
        <v>0</v>
      </c>
      <c r="CK5" s="5" t="b">
        <v>0</v>
      </c>
      <c r="CL5" s="5" t="b">
        <v>0</v>
      </c>
      <c r="CM5" s="5" t="b">
        <v>0</v>
      </c>
      <c r="CN5" s="5" t="b">
        <v>0</v>
      </c>
      <c r="CO5" s="5" t="b">
        <v>0</v>
      </c>
      <c r="CP5" s="5" t="b">
        <v>0</v>
      </c>
      <c r="CQ5" s="5" t="b">
        <v>0</v>
      </c>
      <c r="CR5" s="5" t="s">
        <v>244</v>
      </c>
      <c r="CS5" s="5" t="s">
        <v>34</v>
      </c>
      <c r="CT5" s="5" t="s">
        <v>63</v>
      </c>
      <c r="CU5" s="5" t="s">
        <v>68</v>
      </c>
      <c r="CV5" s="5" t="s">
        <v>73</v>
      </c>
      <c r="CW5" s="5">
        <v>0</v>
      </c>
      <c r="CX5" s="5">
        <v>0</v>
      </c>
      <c r="CY5" s="5" t="s">
        <v>128</v>
      </c>
      <c r="CZ5" s="5" t="s">
        <v>85</v>
      </c>
      <c r="DA5" s="5" t="s">
        <v>90</v>
      </c>
      <c r="DB5" s="5" t="s">
        <v>92</v>
      </c>
      <c r="DC5" s="5" t="b">
        <v>1</v>
      </c>
      <c r="DD5" s="5" t="b">
        <v>1</v>
      </c>
      <c r="DE5" s="5" t="b">
        <v>1</v>
      </c>
      <c r="DF5" s="5" t="b">
        <v>0</v>
      </c>
      <c r="DG5" s="5">
        <v>3</v>
      </c>
      <c r="DH5" s="5" t="s">
        <v>154</v>
      </c>
    </row>
    <row r="6" spans="1:112" x14ac:dyDescent="0.45">
      <c r="B6" s="10"/>
      <c r="C6" s="5">
        <v>0</v>
      </c>
      <c r="D6" s="5">
        <v>0</v>
      </c>
      <c r="E6" s="5">
        <v>0</v>
      </c>
      <c r="F6" s="5">
        <v>0</v>
      </c>
      <c r="G6" s="5" t="b">
        <v>0</v>
      </c>
      <c r="H6" s="5" t="b">
        <v>0</v>
      </c>
      <c r="I6" s="5" t="b">
        <v>0</v>
      </c>
      <c r="J6" s="5" t="b">
        <v>0</v>
      </c>
      <c r="K6" s="5" t="b">
        <v>0</v>
      </c>
      <c r="L6" s="5" t="b">
        <v>0</v>
      </c>
      <c r="M6" s="5" t="b">
        <v>0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 t="b">
        <v>0</v>
      </c>
      <c r="X6" s="5" t="b">
        <v>0</v>
      </c>
      <c r="Y6" s="5" t="b">
        <v>0</v>
      </c>
      <c r="Z6" s="5" t="b">
        <v>0</v>
      </c>
      <c r="AA6" s="5" t="b">
        <v>0</v>
      </c>
      <c r="AB6" s="5" t="b">
        <v>0</v>
      </c>
      <c r="AC6" s="5" t="b">
        <v>0</v>
      </c>
      <c r="AD6" s="5" t="b">
        <v>0</v>
      </c>
      <c r="AE6" s="5" t="b">
        <v>0</v>
      </c>
      <c r="AF6" s="5" t="b">
        <v>0</v>
      </c>
      <c r="AG6" s="5" t="b">
        <v>0</v>
      </c>
      <c r="AH6" s="5">
        <v>0</v>
      </c>
      <c r="AI6" s="5" t="s">
        <v>150</v>
      </c>
      <c r="AJ6" s="5" t="s">
        <v>150</v>
      </c>
      <c r="AK6" s="5">
        <v>0</v>
      </c>
      <c r="AL6" s="5">
        <v>0</v>
      </c>
      <c r="AM6" s="5">
        <v>0</v>
      </c>
      <c r="AN6" s="5">
        <v>0</v>
      </c>
      <c r="AO6" s="5">
        <v>0</v>
      </c>
      <c r="AP6" s="5">
        <v>0</v>
      </c>
      <c r="AQ6" s="5">
        <v>0</v>
      </c>
      <c r="AR6" s="5">
        <v>0</v>
      </c>
      <c r="AS6" s="5">
        <v>0</v>
      </c>
      <c r="AT6" s="5" t="b">
        <v>0</v>
      </c>
      <c r="AU6" s="5" t="b">
        <v>0</v>
      </c>
      <c r="AV6" s="5" t="b">
        <v>0</v>
      </c>
      <c r="AW6" s="5" t="b">
        <v>0</v>
      </c>
      <c r="AX6" s="5">
        <v>0</v>
      </c>
      <c r="AY6" s="5">
        <v>0</v>
      </c>
      <c r="AZ6" s="5" t="s">
        <v>150</v>
      </c>
      <c r="BA6" s="5">
        <v>0</v>
      </c>
      <c r="BB6" s="5" t="s">
        <v>150</v>
      </c>
      <c r="BC6" s="5">
        <v>0</v>
      </c>
      <c r="BD6" s="5">
        <v>0</v>
      </c>
      <c r="BE6" s="5">
        <v>0</v>
      </c>
      <c r="BF6" s="5">
        <v>0</v>
      </c>
      <c r="BG6" s="5" t="b">
        <v>0</v>
      </c>
      <c r="BH6" s="5" t="b">
        <v>0</v>
      </c>
      <c r="BI6" s="5" t="b">
        <v>0</v>
      </c>
      <c r="BJ6" s="5" t="b">
        <v>0</v>
      </c>
      <c r="BK6" s="5" t="b">
        <v>0</v>
      </c>
      <c r="BL6" s="5" t="s">
        <v>150</v>
      </c>
      <c r="BM6" s="5" t="s">
        <v>150</v>
      </c>
      <c r="BN6" s="5" t="s">
        <v>150</v>
      </c>
      <c r="BO6" s="5" t="s">
        <v>150</v>
      </c>
      <c r="BP6" s="5" t="s">
        <v>150</v>
      </c>
      <c r="BQ6" s="5" t="b">
        <v>0</v>
      </c>
      <c r="BR6" s="5" t="b">
        <v>0</v>
      </c>
      <c r="BS6" s="5" t="b">
        <v>0</v>
      </c>
      <c r="BT6" s="5" t="b">
        <v>0</v>
      </c>
      <c r="BU6" s="5" t="b">
        <v>0</v>
      </c>
      <c r="BV6" s="5" t="b">
        <v>0</v>
      </c>
      <c r="BW6" s="5" t="b">
        <v>0</v>
      </c>
      <c r="BX6" s="5" t="b">
        <v>0</v>
      </c>
      <c r="BY6" s="5" t="b">
        <v>0</v>
      </c>
      <c r="BZ6" s="5" t="b">
        <v>0</v>
      </c>
      <c r="CA6" s="5" t="b">
        <v>0</v>
      </c>
      <c r="CB6" s="5" t="b">
        <v>0</v>
      </c>
      <c r="CC6" s="5" t="b">
        <v>0</v>
      </c>
      <c r="CD6" s="5" t="b">
        <v>0</v>
      </c>
      <c r="CE6" s="5" t="b">
        <v>0</v>
      </c>
      <c r="CF6" s="5" t="b">
        <v>0</v>
      </c>
      <c r="CG6" s="5" t="b">
        <v>0</v>
      </c>
      <c r="CH6" s="5" t="b">
        <v>0</v>
      </c>
      <c r="CI6" s="5" t="b">
        <v>0</v>
      </c>
      <c r="CJ6" s="5" t="b">
        <v>0</v>
      </c>
      <c r="CK6" s="5" t="b">
        <v>0</v>
      </c>
      <c r="CL6" s="5" t="b">
        <v>0</v>
      </c>
      <c r="CM6" s="5" t="b">
        <v>0</v>
      </c>
      <c r="CN6" s="5" t="b">
        <v>0</v>
      </c>
      <c r="CO6" s="5" t="b">
        <v>0</v>
      </c>
      <c r="CP6" s="5" t="b">
        <v>0</v>
      </c>
      <c r="CQ6" s="5" t="b">
        <v>0</v>
      </c>
      <c r="CR6" s="5" t="s">
        <v>146</v>
      </c>
      <c r="CS6" s="5">
        <v>0</v>
      </c>
      <c r="CT6" s="5">
        <v>0</v>
      </c>
      <c r="CU6" s="5">
        <v>0</v>
      </c>
      <c r="CV6" s="5">
        <v>0</v>
      </c>
      <c r="CW6" s="5">
        <v>0</v>
      </c>
      <c r="CX6" s="5">
        <v>0</v>
      </c>
      <c r="CY6" s="5">
        <v>0</v>
      </c>
      <c r="CZ6" s="5">
        <v>0</v>
      </c>
      <c r="DA6" s="5">
        <v>0</v>
      </c>
      <c r="DB6" s="5">
        <v>0</v>
      </c>
      <c r="DC6" s="5" t="b">
        <v>0</v>
      </c>
      <c r="DD6" s="5" t="b">
        <v>0</v>
      </c>
      <c r="DE6" s="5" t="b">
        <v>0</v>
      </c>
      <c r="DF6" s="5" t="b">
        <v>0</v>
      </c>
      <c r="DG6" s="5">
        <v>0</v>
      </c>
      <c r="DH6" s="5">
        <v>0</v>
      </c>
    </row>
    <row r="7" spans="1:112" x14ac:dyDescent="0.45">
      <c r="C7" s="5">
        <v>0</v>
      </c>
      <c r="D7" s="5">
        <v>0</v>
      </c>
      <c r="E7" s="5">
        <v>0</v>
      </c>
      <c r="F7" s="5">
        <v>0</v>
      </c>
      <c r="G7" s="5" t="b">
        <v>0</v>
      </c>
      <c r="H7" s="5" t="b">
        <v>0</v>
      </c>
      <c r="I7" s="5" t="b">
        <v>0</v>
      </c>
      <c r="J7" s="5" t="b">
        <v>0</v>
      </c>
      <c r="K7" s="5" t="b">
        <v>0</v>
      </c>
      <c r="L7" s="5" t="b">
        <v>0</v>
      </c>
      <c r="M7" s="5" t="b">
        <v>0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 t="b">
        <v>0</v>
      </c>
      <c r="X7" s="5" t="b">
        <v>0</v>
      </c>
      <c r="Y7" s="5" t="b">
        <v>0</v>
      </c>
      <c r="Z7" s="5" t="b">
        <v>0</v>
      </c>
      <c r="AA7" s="5" t="b">
        <v>0</v>
      </c>
      <c r="AB7" s="5" t="b">
        <v>0</v>
      </c>
      <c r="AC7" s="5" t="b">
        <v>0</v>
      </c>
      <c r="AD7" s="5" t="b">
        <v>0</v>
      </c>
      <c r="AE7" s="5" t="b">
        <v>0</v>
      </c>
      <c r="AF7" s="5" t="b">
        <v>0</v>
      </c>
      <c r="AG7" s="5" t="b">
        <v>0</v>
      </c>
      <c r="AH7" s="5">
        <v>0</v>
      </c>
      <c r="AI7" s="5" t="s">
        <v>150</v>
      </c>
      <c r="AJ7" s="5" t="s">
        <v>150</v>
      </c>
      <c r="AK7" s="5">
        <v>0</v>
      </c>
      <c r="AL7" s="5">
        <v>0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 t="b">
        <v>0</v>
      </c>
      <c r="AU7" s="5" t="b">
        <v>0</v>
      </c>
      <c r="AV7" s="5" t="b">
        <v>0</v>
      </c>
      <c r="AW7" s="5" t="b">
        <v>0</v>
      </c>
      <c r="AX7" s="5">
        <v>0</v>
      </c>
      <c r="AY7" s="5">
        <v>0</v>
      </c>
      <c r="AZ7" s="5" t="s">
        <v>150</v>
      </c>
      <c r="BA7" s="5">
        <v>0</v>
      </c>
      <c r="BB7" s="5" t="s">
        <v>150</v>
      </c>
      <c r="BC7" s="5">
        <v>0</v>
      </c>
      <c r="BD7" s="5">
        <v>0</v>
      </c>
      <c r="BE7" s="5">
        <v>0</v>
      </c>
      <c r="BF7" s="5">
        <v>0</v>
      </c>
      <c r="BG7" s="5" t="b">
        <v>0</v>
      </c>
      <c r="BH7" s="5" t="b">
        <v>0</v>
      </c>
      <c r="BI7" s="5" t="b">
        <v>0</v>
      </c>
      <c r="BJ7" s="5" t="b">
        <v>0</v>
      </c>
      <c r="BK7" s="5" t="b">
        <v>0</v>
      </c>
      <c r="BL7" s="5" t="s">
        <v>150</v>
      </c>
      <c r="BM7" s="5" t="s">
        <v>150</v>
      </c>
      <c r="BN7" s="5" t="s">
        <v>150</v>
      </c>
      <c r="BO7" s="5" t="s">
        <v>150</v>
      </c>
      <c r="BP7" s="5" t="s">
        <v>150</v>
      </c>
      <c r="BQ7" s="5" t="b">
        <v>0</v>
      </c>
      <c r="BR7" s="5" t="b">
        <v>0</v>
      </c>
      <c r="BS7" s="5" t="b">
        <v>0</v>
      </c>
      <c r="BT7" s="5" t="b">
        <v>0</v>
      </c>
      <c r="BU7" s="5" t="b">
        <v>0</v>
      </c>
      <c r="BV7" s="5" t="b">
        <v>0</v>
      </c>
      <c r="BW7" s="5" t="b">
        <v>0</v>
      </c>
      <c r="BX7" s="5" t="b">
        <v>0</v>
      </c>
      <c r="BY7" s="5" t="b">
        <v>0</v>
      </c>
      <c r="BZ7" s="5" t="b">
        <v>0</v>
      </c>
      <c r="CA7" s="5" t="b">
        <v>0</v>
      </c>
      <c r="CB7" s="5" t="b">
        <v>0</v>
      </c>
      <c r="CC7" s="5" t="b">
        <v>0</v>
      </c>
      <c r="CD7" s="5" t="b">
        <v>0</v>
      </c>
      <c r="CE7" s="5" t="b">
        <v>0</v>
      </c>
      <c r="CF7" s="5" t="b">
        <v>0</v>
      </c>
      <c r="CG7" s="5" t="b">
        <v>0</v>
      </c>
      <c r="CH7" s="5" t="b">
        <v>0</v>
      </c>
      <c r="CI7" s="5" t="b">
        <v>0</v>
      </c>
      <c r="CJ7" s="5" t="b">
        <v>0</v>
      </c>
      <c r="CK7" s="5" t="b">
        <v>0</v>
      </c>
      <c r="CL7" s="5" t="b">
        <v>0</v>
      </c>
      <c r="CM7" s="5" t="b">
        <v>0</v>
      </c>
      <c r="CN7" s="5" t="b">
        <v>0</v>
      </c>
      <c r="CO7" s="5" t="b">
        <v>0</v>
      </c>
      <c r="CP7" s="5" t="b">
        <v>0</v>
      </c>
      <c r="CQ7" s="5" t="b">
        <v>0</v>
      </c>
      <c r="CR7" s="5" t="s">
        <v>146</v>
      </c>
      <c r="CS7" s="5">
        <v>0</v>
      </c>
      <c r="CT7" s="5">
        <v>0</v>
      </c>
      <c r="CU7" s="5">
        <v>0</v>
      </c>
      <c r="CV7" s="5">
        <v>0</v>
      </c>
      <c r="CW7" s="5">
        <v>0</v>
      </c>
      <c r="CX7" s="5">
        <v>0</v>
      </c>
      <c r="CY7" s="5">
        <v>0</v>
      </c>
      <c r="CZ7" s="5">
        <v>0</v>
      </c>
      <c r="DA7" s="5">
        <v>0</v>
      </c>
      <c r="DB7" s="5">
        <v>0</v>
      </c>
      <c r="DC7" s="5" t="b">
        <v>0</v>
      </c>
      <c r="DD7" s="5" t="b">
        <v>0</v>
      </c>
      <c r="DE7" s="5" t="b">
        <v>0</v>
      </c>
      <c r="DF7" s="5" t="b">
        <v>0</v>
      </c>
      <c r="DG7" s="5">
        <v>0</v>
      </c>
      <c r="DH7" s="5">
        <v>0</v>
      </c>
    </row>
    <row r="8" spans="1:112" x14ac:dyDescent="0.45">
      <c r="C8" s="5">
        <v>0</v>
      </c>
      <c r="D8" s="5">
        <v>0</v>
      </c>
      <c r="E8" s="5">
        <v>0</v>
      </c>
      <c r="F8" s="5">
        <v>0</v>
      </c>
      <c r="G8" s="5" t="b">
        <v>0</v>
      </c>
      <c r="H8" s="5" t="b">
        <v>0</v>
      </c>
      <c r="I8" s="5" t="b">
        <v>0</v>
      </c>
      <c r="J8" s="5" t="b">
        <v>0</v>
      </c>
      <c r="K8" s="5" t="b">
        <v>0</v>
      </c>
      <c r="L8" s="5" t="b">
        <v>0</v>
      </c>
      <c r="M8" s="5" t="b">
        <v>0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 t="b">
        <v>0</v>
      </c>
      <c r="X8" s="5" t="b">
        <v>0</v>
      </c>
      <c r="Y8" s="5" t="b">
        <v>0</v>
      </c>
      <c r="Z8" s="5" t="b">
        <v>0</v>
      </c>
      <c r="AA8" s="5" t="b">
        <v>0</v>
      </c>
      <c r="AB8" s="5" t="b">
        <v>0</v>
      </c>
      <c r="AC8" s="5" t="b">
        <v>0</v>
      </c>
      <c r="AD8" s="5" t="b">
        <v>0</v>
      </c>
      <c r="AE8" s="5" t="b">
        <v>0</v>
      </c>
      <c r="AF8" s="5" t="b">
        <v>0</v>
      </c>
      <c r="AG8" s="5" t="b">
        <v>0</v>
      </c>
      <c r="AH8" s="5">
        <v>0</v>
      </c>
      <c r="AI8" s="5" t="s">
        <v>150</v>
      </c>
      <c r="AJ8" s="5" t="s">
        <v>150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 t="b">
        <v>0</v>
      </c>
      <c r="AU8" s="5" t="b">
        <v>0</v>
      </c>
      <c r="AV8" s="5" t="b">
        <v>0</v>
      </c>
      <c r="AW8" s="5" t="b">
        <v>0</v>
      </c>
      <c r="AX8" s="5">
        <v>0</v>
      </c>
      <c r="AY8" s="5">
        <v>0</v>
      </c>
      <c r="AZ8" s="5" t="s">
        <v>150</v>
      </c>
      <c r="BA8" s="5">
        <v>0</v>
      </c>
      <c r="BB8" s="5" t="s">
        <v>150</v>
      </c>
      <c r="BC8" s="5">
        <v>0</v>
      </c>
      <c r="BD8" s="5">
        <v>0</v>
      </c>
      <c r="BE8" s="5">
        <v>0</v>
      </c>
      <c r="BF8" s="5">
        <v>0</v>
      </c>
      <c r="BG8" s="5" t="b">
        <v>0</v>
      </c>
      <c r="BH8" s="5" t="b">
        <v>0</v>
      </c>
      <c r="BI8" s="5" t="b">
        <v>0</v>
      </c>
      <c r="BJ8" s="5" t="b">
        <v>0</v>
      </c>
      <c r="BK8" s="5" t="b">
        <v>0</v>
      </c>
      <c r="BL8" s="5" t="s">
        <v>150</v>
      </c>
      <c r="BM8" s="5" t="s">
        <v>150</v>
      </c>
      <c r="BN8" s="5" t="s">
        <v>150</v>
      </c>
      <c r="BO8" s="5" t="s">
        <v>150</v>
      </c>
      <c r="BP8" s="5" t="s">
        <v>150</v>
      </c>
      <c r="BQ8" s="5" t="b">
        <v>0</v>
      </c>
      <c r="BR8" s="5" t="b">
        <v>0</v>
      </c>
      <c r="BS8" s="5" t="b">
        <v>0</v>
      </c>
      <c r="BT8" s="5" t="b">
        <v>0</v>
      </c>
      <c r="BU8" s="5" t="b">
        <v>0</v>
      </c>
      <c r="BV8" s="5" t="b">
        <v>0</v>
      </c>
      <c r="BW8" s="5" t="b">
        <v>0</v>
      </c>
      <c r="BX8" s="5" t="b">
        <v>0</v>
      </c>
      <c r="BY8" s="5" t="b">
        <v>0</v>
      </c>
      <c r="BZ8" s="5" t="b">
        <v>0</v>
      </c>
      <c r="CA8" s="5" t="b">
        <v>0</v>
      </c>
      <c r="CB8" s="5" t="b">
        <v>0</v>
      </c>
      <c r="CC8" s="5" t="b">
        <v>0</v>
      </c>
      <c r="CD8" s="5" t="b">
        <v>0</v>
      </c>
      <c r="CE8" s="5" t="b">
        <v>0</v>
      </c>
      <c r="CF8" s="5" t="b">
        <v>0</v>
      </c>
      <c r="CG8" s="5" t="b">
        <v>0</v>
      </c>
      <c r="CH8" s="5" t="b">
        <v>0</v>
      </c>
      <c r="CI8" s="5" t="b">
        <v>0</v>
      </c>
      <c r="CJ8" s="5" t="b">
        <v>0</v>
      </c>
      <c r="CK8" s="5" t="b">
        <v>0</v>
      </c>
      <c r="CL8" s="5" t="b">
        <v>0</v>
      </c>
      <c r="CM8" s="5" t="b">
        <v>0</v>
      </c>
      <c r="CN8" s="5" t="b">
        <v>0</v>
      </c>
      <c r="CO8" s="5" t="b">
        <v>0</v>
      </c>
      <c r="CP8" s="5" t="b">
        <v>0</v>
      </c>
      <c r="CQ8" s="5" t="b">
        <v>0</v>
      </c>
      <c r="CR8" s="5" t="s">
        <v>146</v>
      </c>
      <c r="CS8" s="5">
        <v>0</v>
      </c>
      <c r="CT8" s="5">
        <v>0</v>
      </c>
      <c r="CU8" s="5">
        <v>0</v>
      </c>
      <c r="CV8" s="5">
        <v>0</v>
      </c>
      <c r="CW8" s="5">
        <v>0</v>
      </c>
      <c r="CX8" s="5">
        <v>0</v>
      </c>
      <c r="CY8" s="5">
        <v>0</v>
      </c>
      <c r="CZ8" s="5">
        <v>0</v>
      </c>
      <c r="DA8" s="5">
        <v>0</v>
      </c>
      <c r="DB8" s="5">
        <v>0</v>
      </c>
      <c r="DC8" s="5" t="b">
        <v>0</v>
      </c>
      <c r="DD8" s="5" t="b">
        <v>0</v>
      </c>
      <c r="DE8" s="5" t="b">
        <v>0</v>
      </c>
      <c r="DF8" s="5" t="b">
        <v>0</v>
      </c>
      <c r="DG8" s="5">
        <v>0</v>
      </c>
      <c r="DH8" s="5">
        <v>0</v>
      </c>
    </row>
    <row r="9" spans="1:112" x14ac:dyDescent="0.45">
      <c r="C9" s="5">
        <v>0</v>
      </c>
      <c r="D9" s="5">
        <v>0</v>
      </c>
      <c r="E9" s="5">
        <v>0</v>
      </c>
      <c r="F9" s="5">
        <v>0</v>
      </c>
      <c r="G9" s="5" t="b">
        <v>0</v>
      </c>
      <c r="H9" s="5" t="b">
        <v>0</v>
      </c>
      <c r="I9" s="5" t="b">
        <v>0</v>
      </c>
      <c r="J9" s="5" t="b">
        <v>0</v>
      </c>
      <c r="K9" s="5" t="b">
        <v>0</v>
      </c>
      <c r="L9" s="5" t="b">
        <v>0</v>
      </c>
      <c r="M9" s="5" t="b">
        <v>0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 t="b">
        <v>0</v>
      </c>
      <c r="X9" s="5" t="b">
        <v>0</v>
      </c>
      <c r="Y9" s="5" t="b">
        <v>0</v>
      </c>
      <c r="Z9" s="5" t="b">
        <v>0</v>
      </c>
      <c r="AA9" s="5" t="b">
        <v>0</v>
      </c>
      <c r="AB9" s="5" t="b">
        <v>0</v>
      </c>
      <c r="AC9" s="5" t="b">
        <v>0</v>
      </c>
      <c r="AD9" s="5" t="b">
        <v>0</v>
      </c>
      <c r="AE9" s="5" t="b">
        <v>0</v>
      </c>
      <c r="AF9" s="5" t="b">
        <v>0</v>
      </c>
      <c r="AG9" s="5" t="b">
        <v>0</v>
      </c>
      <c r="AH9" s="5">
        <v>0</v>
      </c>
      <c r="AI9" s="5" t="s">
        <v>150</v>
      </c>
      <c r="AJ9" s="5" t="s">
        <v>150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 t="b">
        <v>0</v>
      </c>
      <c r="AU9" s="5" t="b">
        <v>0</v>
      </c>
      <c r="AV9" s="5" t="b">
        <v>0</v>
      </c>
      <c r="AW9" s="5" t="b">
        <v>0</v>
      </c>
      <c r="AX9" s="5">
        <v>0</v>
      </c>
      <c r="AY9" s="5">
        <v>0</v>
      </c>
      <c r="AZ9" s="5" t="s">
        <v>150</v>
      </c>
      <c r="BA9" s="5">
        <v>0</v>
      </c>
      <c r="BB9" s="5" t="s">
        <v>150</v>
      </c>
      <c r="BC9" s="5">
        <v>0</v>
      </c>
      <c r="BD9" s="5">
        <v>0</v>
      </c>
      <c r="BE9" s="5">
        <v>0</v>
      </c>
      <c r="BF9" s="5">
        <v>0</v>
      </c>
      <c r="BG9" s="5" t="b">
        <v>0</v>
      </c>
      <c r="BH9" s="5" t="b">
        <v>0</v>
      </c>
      <c r="BI9" s="5" t="b">
        <v>0</v>
      </c>
      <c r="BJ9" s="5" t="b">
        <v>0</v>
      </c>
      <c r="BK9" s="5" t="b">
        <v>0</v>
      </c>
      <c r="BL9" s="5" t="s">
        <v>150</v>
      </c>
      <c r="BM9" s="5" t="s">
        <v>150</v>
      </c>
      <c r="BN9" s="5" t="s">
        <v>150</v>
      </c>
      <c r="BO9" s="5" t="s">
        <v>150</v>
      </c>
      <c r="BP9" s="5" t="s">
        <v>150</v>
      </c>
      <c r="BQ9" s="5" t="b">
        <v>0</v>
      </c>
      <c r="BR9" s="5" t="b">
        <v>0</v>
      </c>
      <c r="BS9" s="5" t="b">
        <v>0</v>
      </c>
      <c r="BT9" s="5" t="b">
        <v>0</v>
      </c>
      <c r="BU9" s="5" t="b">
        <v>0</v>
      </c>
      <c r="BV9" s="5" t="b">
        <v>0</v>
      </c>
      <c r="BW9" s="5" t="b">
        <v>0</v>
      </c>
      <c r="BX9" s="5" t="b">
        <v>0</v>
      </c>
      <c r="BY9" s="5" t="b">
        <v>0</v>
      </c>
      <c r="BZ9" s="5" t="b">
        <v>0</v>
      </c>
      <c r="CA9" s="5" t="b">
        <v>0</v>
      </c>
      <c r="CB9" s="5" t="b">
        <v>0</v>
      </c>
      <c r="CC9" s="5" t="b">
        <v>0</v>
      </c>
      <c r="CD9" s="5" t="b">
        <v>0</v>
      </c>
      <c r="CE9" s="5" t="b">
        <v>0</v>
      </c>
      <c r="CF9" s="5" t="b">
        <v>0</v>
      </c>
      <c r="CG9" s="5" t="b">
        <v>0</v>
      </c>
      <c r="CH9" s="5" t="b">
        <v>0</v>
      </c>
      <c r="CI9" s="5" t="b">
        <v>0</v>
      </c>
      <c r="CJ9" s="5" t="b">
        <v>0</v>
      </c>
      <c r="CK9" s="5" t="b">
        <v>0</v>
      </c>
      <c r="CL9" s="5" t="b">
        <v>0</v>
      </c>
      <c r="CM9" s="5" t="b">
        <v>0</v>
      </c>
      <c r="CN9" s="5" t="b">
        <v>0</v>
      </c>
      <c r="CO9" s="5" t="b">
        <v>0</v>
      </c>
      <c r="CP9" s="5" t="b">
        <v>0</v>
      </c>
      <c r="CQ9" s="5" t="b">
        <v>0</v>
      </c>
      <c r="CR9" s="5" t="s">
        <v>146</v>
      </c>
      <c r="CS9" s="5">
        <v>0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  <c r="CY9" s="5">
        <v>0</v>
      </c>
      <c r="CZ9" s="5">
        <v>0</v>
      </c>
      <c r="DA9" s="5">
        <v>0</v>
      </c>
      <c r="DB9" s="5">
        <v>0</v>
      </c>
      <c r="DC9" s="5" t="b">
        <v>0</v>
      </c>
      <c r="DD9" s="5" t="b">
        <v>0</v>
      </c>
      <c r="DE9" s="5" t="b">
        <v>0</v>
      </c>
      <c r="DF9" s="5" t="b">
        <v>0</v>
      </c>
      <c r="DG9" s="5">
        <v>0</v>
      </c>
      <c r="DH9" s="5">
        <v>0</v>
      </c>
    </row>
    <row r="10" spans="1:112" x14ac:dyDescent="0.45">
      <c r="C10" s="5">
        <v>0</v>
      </c>
      <c r="D10" s="5">
        <v>0</v>
      </c>
      <c r="E10" s="5">
        <v>0</v>
      </c>
      <c r="F10" s="5">
        <v>0</v>
      </c>
      <c r="G10" s="5" t="b">
        <v>0</v>
      </c>
      <c r="H10" s="5" t="b">
        <v>0</v>
      </c>
      <c r="I10" s="5" t="b">
        <v>0</v>
      </c>
      <c r="J10" s="5" t="b">
        <v>0</v>
      </c>
      <c r="K10" s="5" t="b">
        <v>0</v>
      </c>
      <c r="L10" s="5" t="b">
        <v>0</v>
      </c>
      <c r="M10" s="5" t="b">
        <v>0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 t="b">
        <v>0</v>
      </c>
      <c r="X10" s="5" t="b">
        <v>0</v>
      </c>
      <c r="Y10" s="5" t="b">
        <v>0</v>
      </c>
      <c r="Z10" s="5" t="b">
        <v>0</v>
      </c>
      <c r="AA10" s="5" t="b">
        <v>0</v>
      </c>
      <c r="AB10" s="5" t="b">
        <v>0</v>
      </c>
      <c r="AC10" s="5" t="b">
        <v>0</v>
      </c>
      <c r="AD10" s="5" t="b">
        <v>0</v>
      </c>
      <c r="AE10" s="5" t="b">
        <v>0</v>
      </c>
      <c r="AF10" s="5" t="b">
        <v>0</v>
      </c>
      <c r="AG10" s="5" t="b">
        <v>0</v>
      </c>
      <c r="AH10" s="5">
        <v>0</v>
      </c>
      <c r="AI10" s="5" t="s">
        <v>150</v>
      </c>
      <c r="AJ10" s="5" t="s">
        <v>150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 t="b">
        <v>0</v>
      </c>
      <c r="AU10" s="5" t="b">
        <v>0</v>
      </c>
      <c r="AV10" s="5" t="b">
        <v>0</v>
      </c>
      <c r="AW10" s="5" t="b">
        <v>0</v>
      </c>
      <c r="AX10" s="5">
        <v>0</v>
      </c>
      <c r="AY10" s="5">
        <v>0</v>
      </c>
      <c r="AZ10" s="5" t="s">
        <v>150</v>
      </c>
      <c r="BA10" s="5">
        <v>0</v>
      </c>
      <c r="BB10" s="5" t="s">
        <v>150</v>
      </c>
      <c r="BC10" s="5">
        <v>0</v>
      </c>
      <c r="BD10" s="5">
        <v>0</v>
      </c>
      <c r="BE10" s="5">
        <v>0</v>
      </c>
      <c r="BF10" s="5">
        <v>0</v>
      </c>
      <c r="BG10" s="5" t="b">
        <v>0</v>
      </c>
      <c r="BH10" s="5" t="b">
        <v>0</v>
      </c>
      <c r="BI10" s="5" t="b">
        <v>0</v>
      </c>
      <c r="BJ10" s="5" t="b">
        <v>0</v>
      </c>
      <c r="BK10" s="5" t="b">
        <v>0</v>
      </c>
      <c r="BL10" s="5" t="s">
        <v>150</v>
      </c>
      <c r="BM10" s="5" t="s">
        <v>150</v>
      </c>
      <c r="BN10" s="5" t="s">
        <v>150</v>
      </c>
      <c r="BO10" s="5" t="s">
        <v>150</v>
      </c>
      <c r="BP10" s="5" t="s">
        <v>150</v>
      </c>
      <c r="BQ10" s="5" t="b">
        <v>1</v>
      </c>
      <c r="BR10" s="5" t="b">
        <v>0</v>
      </c>
      <c r="BS10" s="5" t="b">
        <v>0</v>
      </c>
      <c r="BT10" s="5" t="b">
        <v>0</v>
      </c>
      <c r="BU10" s="5" t="b">
        <v>0</v>
      </c>
      <c r="BV10" s="5" t="b">
        <v>0</v>
      </c>
      <c r="BW10" s="5" t="b">
        <v>0</v>
      </c>
      <c r="BX10" s="5" t="b">
        <v>0</v>
      </c>
      <c r="BY10" s="5" t="b">
        <v>0</v>
      </c>
      <c r="BZ10" s="5" t="b">
        <v>0</v>
      </c>
      <c r="CA10" s="5" t="b">
        <v>0</v>
      </c>
      <c r="CB10" s="5" t="b">
        <v>0</v>
      </c>
      <c r="CC10" s="5" t="b">
        <v>0</v>
      </c>
      <c r="CD10" s="5" t="b">
        <v>0</v>
      </c>
      <c r="CE10" s="5" t="b">
        <v>1</v>
      </c>
      <c r="CF10" s="5" t="b">
        <v>0</v>
      </c>
      <c r="CG10" s="5" t="b">
        <v>0</v>
      </c>
      <c r="CH10" s="5" t="b">
        <v>0</v>
      </c>
      <c r="CI10" s="5" t="b">
        <v>0</v>
      </c>
      <c r="CJ10" s="5" t="b">
        <v>0</v>
      </c>
      <c r="CK10" s="5" t="b">
        <v>0</v>
      </c>
      <c r="CL10" s="5" t="b">
        <v>0</v>
      </c>
      <c r="CM10" s="5" t="b">
        <v>0</v>
      </c>
      <c r="CN10" s="5" t="b">
        <v>0</v>
      </c>
      <c r="CO10" s="5" t="b">
        <v>0</v>
      </c>
      <c r="CP10" s="5" t="b">
        <v>0</v>
      </c>
      <c r="CQ10" s="5" t="b">
        <v>0</v>
      </c>
      <c r="CR10" s="5" t="s">
        <v>146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 t="b">
        <v>0</v>
      </c>
      <c r="DD10" s="5" t="b">
        <v>0</v>
      </c>
      <c r="DE10" s="5" t="b">
        <v>0</v>
      </c>
      <c r="DF10" s="5" t="b">
        <v>0</v>
      </c>
      <c r="DG10" s="5">
        <v>0</v>
      </c>
      <c r="DH10" s="5">
        <v>0</v>
      </c>
    </row>
    <row r="11" spans="1:112" x14ac:dyDescent="0.45">
      <c r="C11" s="5">
        <v>0</v>
      </c>
      <c r="D11" s="5">
        <v>0</v>
      </c>
      <c r="E11" s="5">
        <v>0</v>
      </c>
      <c r="F11" s="5">
        <v>0</v>
      </c>
      <c r="G11" s="5" t="b">
        <v>0</v>
      </c>
      <c r="H11" s="5" t="b">
        <v>0</v>
      </c>
      <c r="I11" s="5" t="b">
        <v>0</v>
      </c>
      <c r="J11" s="5" t="b">
        <v>0</v>
      </c>
      <c r="K11" s="5" t="b">
        <v>0</v>
      </c>
      <c r="L11" s="5" t="b">
        <v>0</v>
      </c>
      <c r="M11" s="5" t="b">
        <v>0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 t="b">
        <v>0</v>
      </c>
      <c r="X11" s="5" t="b">
        <v>0</v>
      </c>
      <c r="Y11" s="5" t="b">
        <v>0</v>
      </c>
      <c r="Z11" s="5" t="b">
        <v>0</v>
      </c>
      <c r="AA11" s="5" t="b">
        <v>0</v>
      </c>
      <c r="AB11" s="5" t="b">
        <v>0</v>
      </c>
      <c r="AC11" s="5" t="b">
        <v>0</v>
      </c>
      <c r="AD11" s="5" t="b">
        <v>0</v>
      </c>
      <c r="AE11" s="5" t="b">
        <v>0</v>
      </c>
      <c r="AF11" s="5" t="b">
        <v>0</v>
      </c>
      <c r="AG11" s="5" t="b">
        <v>0</v>
      </c>
      <c r="AH11" s="5">
        <v>0</v>
      </c>
      <c r="AI11" s="5" t="s">
        <v>150</v>
      </c>
      <c r="AJ11" s="5" t="s">
        <v>150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 t="b">
        <v>0</v>
      </c>
      <c r="AU11" s="5" t="b">
        <v>0</v>
      </c>
      <c r="AV11" s="5" t="b">
        <v>0</v>
      </c>
      <c r="AW11" s="5" t="b">
        <v>0</v>
      </c>
      <c r="AX11" s="5">
        <v>0</v>
      </c>
      <c r="AY11" s="5">
        <v>0</v>
      </c>
      <c r="AZ11" s="5" t="s">
        <v>150</v>
      </c>
      <c r="BA11" s="5">
        <v>0</v>
      </c>
      <c r="BB11" s="5" t="s">
        <v>150</v>
      </c>
      <c r="BC11" s="5">
        <v>0</v>
      </c>
      <c r="BD11" s="5">
        <v>0</v>
      </c>
      <c r="BE11" s="5">
        <v>0</v>
      </c>
      <c r="BF11" s="5">
        <v>0</v>
      </c>
      <c r="BG11" s="5" t="b">
        <v>0</v>
      </c>
      <c r="BH11" s="5" t="b">
        <v>0</v>
      </c>
      <c r="BI11" s="5" t="b">
        <v>0</v>
      </c>
      <c r="BJ11" s="5" t="b">
        <v>0</v>
      </c>
      <c r="BK11" s="5" t="b">
        <v>0</v>
      </c>
      <c r="BL11" s="5" t="s">
        <v>150</v>
      </c>
      <c r="BM11" s="5" t="s">
        <v>150</v>
      </c>
      <c r="BN11" s="5" t="s">
        <v>150</v>
      </c>
      <c r="BO11" s="5" t="s">
        <v>150</v>
      </c>
      <c r="BP11" s="5" t="s">
        <v>150</v>
      </c>
      <c r="BQ11" s="5" t="b">
        <v>0</v>
      </c>
      <c r="BR11" s="5" t="b">
        <v>0</v>
      </c>
      <c r="BS11" s="5" t="b">
        <v>0</v>
      </c>
      <c r="BT11" s="5" t="b">
        <v>0</v>
      </c>
      <c r="BU11" s="5" t="b">
        <v>0</v>
      </c>
      <c r="BV11" s="5" t="b">
        <v>0</v>
      </c>
      <c r="BW11" s="5" t="b">
        <v>0</v>
      </c>
      <c r="BX11" s="5" t="b">
        <v>0</v>
      </c>
      <c r="BY11" s="5" t="b">
        <v>0</v>
      </c>
      <c r="BZ11" s="5" t="b">
        <v>0</v>
      </c>
      <c r="CA11" s="5" t="b">
        <v>0</v>
      </c>
      <c r="CB11" s="5" t="b">
        <v>0</v>
      </c>
      <c r="CC11" s="5" t="b">
        <v>0</v>
      </c>
      <c r="CD11" s="5" t="b">
        <v>0</v>
      </c>
      <c r="CE11" s="5" t="b">
        <v>0</v>
      </c>
      <c r="CF11" s="5" t="b">
        <v>0</v>
      </c>
      <c r="CG11" s="5" t="b">
        <v>0</v>
      </c>
      <c r="CH11" s="5" t="b">
        <v>0</v>
      </c>
      <c r="CI11" s="5" t="b">
        <v>0</v>
      </c>
      <c r="CJ11" s="5" t="b">
        <v>0</v>
      </c>
      <c r="CK11" s="5" t="b">
        <v>0</v>
      </c>
      <c r="CL11" s="5" t="b">
        <v>0</v>
      </c>
      <c r="CM11" s="5" t="b">
        <v>0</v>
      </c>
      <c r="CN11" s="5" t="b">
        <v>0</v>
      </c>
      <c r="CO11" s="5" t="b">
        <v>0</v>
      </c>
      <c r="CP11" s="5" t="b">
        <v>0</v>
      </c>
      <c r="CQ11" s="5" t="b">
        <v>0</v>
      </c>
      <c r="CR11" s="5" t="s">
        <v>146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 t="b">
        <v>0</v>
      </c>
      <c r="DD11" s="5" t="b">
        <v>0</v>
      </c>
      <c r="DE11" s="5" t="b">
        <v>0</v>
      </c>
      <c r="DF11" s="5" t="b">
        <v>0</v>
      </c>
      <c r="DG11" s="5">
        <v>0</v>
      </c>
      <c r="DH11" s="5">
        <v>0</v>
      </c>
    </row>
    <row r="12" spans="1:112" x14ac:dyDescent="0.45">
      <c r="C12" s="5" t="s">
        <v>1</v>
      </c>
      <c r="D12" s="5">
        <v>0</v>
      </c>
      <c r="E12" s="5">
        <v>0</v>
      </c>
      <c r="F12" s="5">
        <v>0</v>
      </c>
      <c r="G12" s="5" t="b">
        <v>0</v>
      </c>
      <c r="H12" s="5" t="b">
        <v>0</v>
      </c>
      <c r="I12" s="5" t="b">
        <v>0</v>
      </c>
      <c r="J12" s="5" t="b">
        <v>0</v>
      </c>
      <c r="K12" s="5" t="b">
        <v>0</v>
      </c>
      <c r="L12" s="5" t="b">
        <v>0</v>
      </c>
      <c r="M12" s="5" t="b">
        <v>0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 t="b">
        <v>0</v>
      </c>
      <c r="X12" s="5" t="b">
        <v>0</v>
      </c>
      <c r="Y12" s="5" t="b">
        <v>0</v>
      </c>
      <c r="Z12" s="5" t="b">
        <v>0</v>
      </c>
      <c r="AA12" s="5" t="b">
        <v>0</v>
      </c>
      <c r="AB12" s="5" t="b">
        <v>0</v>
      </c>
      <c r="AC12" s="5" t="b">
        <v>0</v>
      </c>
      <c r="AD12" s="5" t="b">
        <v>0</v>
      </c>
      <c r="AE12" s="5" t="b">
        <v>0</v>
      </c>
      <c r="AF12" s="5" t="b">
        <v>0</v>
      </c>
      <c r="AG12" s="5" t="b">
        <v>0</v>
      </c>
      <c r="AH12" s="5">
        <v>0</v>
      </c>
      <c r="AI12" s="5" t="s">
        <v>150</v>
      </c>
      <c r="AJ12" s="5" t="s">
        <v>150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 t="b">
        <v>0</v>
      </c>
      <c r="AU12" s="5" t="b">
        <v>0</v>
      </c>
      <c r="AV12" s="5" t="b">
        <v>0</v>
      </c>
      <c r="AW12" s="5" t="b">
        <v>0</v>
      </c>
      <c r="AX12" s="5">
        <v>0</v>
      </c>
      <c r="AY12" s="5">
        <v>0</v>
      </c>
      <c r="AZ12" s="5" t="s">
        <v>150</v>
      </c>
      <c r="BA12" s="5">
        <v>0</v>
      </c>
      <c r="BB12" s="5" t="s">
        <v>150</v>
      </c>
      <c r="BC12" s="5">
        <v>0</v>
      </c>
      <c r="BD12" s="5">
        <v>0</v>
      </c>
      <c r="BE12" s="5">
        <v>0</v>
      </c>
      <c r="BF12" s="5">
        <v>0</v>
      </c>
      <c r="BG12" s="5" t="b">
        <v>0</v>
      </c>
      <c r="BH12" s="5" t="b">
        <v>0</v>
      </c>
      <c r="BI12" s="5" t="b">
        <v>0</v>
      </c>
      <c r="BJ12" s="5" t="b">
        <v>0</v>
      </c>
      <c r="BK12" s="5" t="b">
        <v>0</v>
      </c>
      <c r="BL12" s="5" t="s">
        <v>150</v>
      </c>
      <c r="BM12" s="5" t="s">
        <v>150</v>
      </c>
      <c r="BN12" s="5" t="s">
        <v>150</v>
      </c>
      <c r="BO12" s="5" t="s">
        <v>150</v>
      </c>
      <c r="BP12" s="5" t="s">
        <v>150</v>
      </c>
      <c r="BQ12" s="5" t="b">
        <v>0</v>
      </c>
      <c r="BR12" s="5" t="b">
        <v>0</v>
      </c>
      <c r="BS12" s="5" t="b">
        <v>0</v>
      </c>
      <c r="BT12" s="5" t="b">
        <v>0</v>
      </c>
      <c r="BU12" s="5" t="b">
        <v>0</v>
      </c>
      <c r="BV12" s="5" t="b">
        <v>0</v>
      </c>
      <c r="BW12" s="5" t="b">
        <v>0</v>
      </c>
      <c r="BX12" s="5" t="b">
        <v>0</v>
      </c>
      <c r="BY12" s="5" t="b">
        <v>0</v>
      </c>
      <c r="BZ12" s="5" t="b">
        <v>0</v>
      </c>
      <c r="CA12" s="5" t="b">
        <v>0</v>
      </c>
      <c r="CB12" s="5" t="b">
        <v>0</v>
      </c>
      <c r="CC12" s="5" t="b">
        <v>0</v>
      </c>
      <c r="CD12" s="5" t="b">
        <v>0</v>
      </c>
      <c r="CE12" s="5" t="b">
        <v>0</v>
      </c>
      <c r="CF12" s="5" t="b">
        <v>0</v>
      </c>
      <c r="CG12" s="5" t="b">
        <v>0</v>
      </c>
      <c r="CH12" s="5" t="b">
        <v>0</v>
      </c>
      <c r="CI12" s="5" t="b">
        <v>0</v>
      </c>
      <c r="CJ12" s="5" t="b">
        <v>0</v>
      </c>
      <c r="CK12" s="5" t="b">
        <v>0</v>
      </c>
      <c r="CL12" s="5" t="b">
        <v>0</v>
      </c>
      <c r="CM12" s="5" t="b">
        <v>0</v>
      </c>
      <c r="CN12" s="5" t="b">
        <v>0</v>
      </c>
      <c r="CO12" s="5" t="b">
        <v>0</v>
      </c>
      <c r="CP12" s="5" t="b">
        <v>0</v>
      </c>
      <c r="CQ12" s="5" t="b">
        <v>0</v>
      </c>
      <c r="CR12" s="5" t="s">
        <v>146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 t="b">
        <v>0</v>
      </c>
      <c r="DD12" s="5" t="b">
        <v>0</v>
      </c>
      <c r="DE12" s="5" t="b">
        <v>0</v>
      </c>
      <c r="DF12" s="5" t="b">
        <v>0</v>
      </c>
      <c r="DG12" s="5">
        <v>0</v>
      </c>
      <c r="DH12" s="5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2c941e4-9dbc-466a-a966-9578e5d96645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F886DDBE484C145B0277352157F9736" ma:contentTypeVersion="7" ma:contentTypeDescription="Create a new document." ma:contentTypeScope="" ma:versionID="381850326bf029dfdfc97eefc5304ce6">
  <xsd:schema xmlns:xsd="http://www.w3.org/2001/XMLSchema" xmlns:xs="http://www.w3.org/2001/XMLSchema" xmlns:p="http://schemas.microsoft.com/office/2006/metadata/properties" xmlns:ns3="a2c941e4-9dbc-466a-a966-9578e5d96645" xmlns:ns4="6a19fb84-dde3-4c1d-8554-99b64999dab5" targetNamespace="http://schemas.microsoft.com/office/2006/metadata/properties" ma:root="true" ma:fieldsID="7f2c4462ebf4f84d3aa601ec8ca2e686" ns3:_="" ns4:_="">
    <xsd:import namespace="a2c941e4-9dbc-466a-a966-9578e5d96645"/>
    <xsd:import namespace="6a19fb84-dde3-4c1d-8554-99b64999dab5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2c941e4-9dbc-466a-a966-9578e5d96645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a19fb84-dde3-4c1d-8554-99b64999dab5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12296F7-67A5-4243-B3C4-F165E3C8CE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D0D3298-7048-4CA6-970C-E7C976BF0DD8}">
  <ds:schemaRefs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a2c941e4-9dbc-466a-a966-9578e5d96645"/>
    <ds:schemaRef ds:uri="http://purl.org/dc/dcmitype/"/>
    <ds:schemaRef ds:uri="6a19fb84-dde3-4c1d-8554-99b64999dab5"/>
    <ds:schemaRef ds:uri="http://purl.org/dc/elements/1.1/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DA014076-8B46-47B7-AFF6-BBA922291E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2c941e4-9dbc-466a-a966-9578e5d96645"/>
    <ds:schemaRef ds:uri="6a19fb84-dde3-4c1d-8554-99b64999dab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VBA Test</vt:lpstr>
      <vt:lpstr>Options</vt:lpstr>
      <vt:lpstr>Processing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Re</dc:creator>
  <cp:lastModifiedBy>Andrew Re</cp:lastModifiedBy>
  <dcterms:created xsi:type="dcterms:W3CDTF">2023-04-03T13:45:59Z</dcterms:created>
  <dcterms:modified xsi:type="dcterms:W3CDTF">2023-04-05T21:43:37Z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0x010100FF886DDBE484C145B0277352157F9736</vt:lpwstr>
  </property>
</Properties>
</file>