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Documents\Data projects\DataAnalyticsProjects\Hospice Data Collection in Excel with VBA\"/>
    </mc:Choice>
  </mc:AlternateContent>
  <xr:revisionPtr revIDLastSave="0" documentId="8_{21CD8890-4DD7-4392-84F3-8880881E1327}" xr6:coauthVersionLast="47" xr6:coauthVersionMax="47" xr10:uidLastSave="{00000000-0000-0000-0000-000000000000}"/>
  <bookViews>
    <workbookView xWindow="-15255" yWindow="0" windowWidth="14265" windowHeight="10358" xr2:uid="{682C5D0B-C805-4137-A1E7-6884AB674A2F}"/>
  </bookViews>
  <sheets>
    <sheet name="Report" sheetId="7" r:id="rId1"/>
    <sheet name="Options" sheetId="2" r:id="rId2"/>
    <sheet name="Data" sheetId="4" r:id="rId3"/>
    <sheet name="Changelog" sheetId="10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2" i="7" l="1"/>
  <c r="Q64" i="7"/>
  <c r="Q63" i="7"/>
  <c r="Q62" i="7"/>
  <c r="Q60" i="7"/>
  <c r="Q61" i="7"/>
  <c r="D3" i="4"/>
  <c r="Q96" i="7"/>
  <c r="D2" i="4"/>
  <c r="E157" i="7"/>
  <c r="Q115" i="7" s="1"/>
  <c r="Q114" i="7"/>
  <c r="Q113" i="7"/>
  <c r="Q112" i="7"/>
  <c r="Q111" i="7"/>
  <c r="Q110" i="7" a="1"/>
  <c r="Q110" i="7" s="1"/>
  <c r="Q109" i="7"/>
  <c r="Q108" i="7" a="1"/>
  <c r="Q108" i="7" s="1"/>
  <c r="Q107" i="7"/>
  <c r="Q106" i="7" a="1"/>
  <c r="Q106" i="7" s="1"/>
  <c r="Q105" i="7"/>
  <c r="Q104" i="7"/>
  <c r="Q102" i="7"/>
  <c r="R7" i="7" s="1"/>
  <c r="Q101" i="7"/>
  <c r="Q100" i="7"/>
  <c r="R6" i="7" s="1"/>
  <c r="Q99" i="7"/>
  <c r="Q98" i="7"/>
  <c r="R5" i="7" s="1"/>
  <c r="Q97" i="7"/>
  <c r="Q95" i="7"/>
  <c r="Q94" i="7"/>
  <c r="Q93" i="7"/>
  <c r="Q91" i="7"/>
  <c r="Q90" i="7"/>
  <c r="Q89" i="7"/>
  <c r="Q88" i="7"/>
  <c r="Q87" i="7"/>
  <c r="Q86" i="7"/>
  <c r="Q85" i="7"/>
  <c r="Q84" i="7"/>
  <c r="Q83" i="7"/>
  <c r="Q82" i="7"/>
  <c r="Q81" i="7"/>
  <c r="Q80" i="7"/>
  <c r="Q79" i="7"/>
  <c r="Q78" i="7"/>
  <c r="Q77" i="7"/>
  <c r="Q76" i="7"/>
  <c r="Q75" i="7"/>
  <c r="Q74" i="7"/>
  <c r="Q73" i="7"/>
  <c r="Q72" i="7"/>
  <c r="Q71" i="7"/>
  <c r="Q70" i="7"/>
  <c r="Q69" i="7"/>
  <c r="Q68" i="7"/>
  <c r="Q67" i="7"/>
  <c r="Q66" i="7"/>
  <c r="Q65" i="7"/>
  <c r="E140" i="7" l="1"/>
  <c r="Q143" i="7"/>
  <c r="Q38" i="7"/>
  <c r="Q37" i="7"/>
  <c r="Q3" i="7"/>
  <c r="Q167" i="7"/>
  <c r="Q160" i="7"/>
  <c r="Q158" i="7"/>
  <c r="Q156" i="7"/>
  <c r="Q152" i="7"/>
  <c r="Q150" i="7"/>
  <c r="Q148" i="7"/>
  <c r="Q146" i="7"/>
  <c r="Q144" i="7"/>
  <c r="Q53" i="7"/>
  <c r="Q51" i="7"/>
  <c r="Q49" i="7"/>
  <c r="Q45" i="7"/>
  <c r="Q43" i="7"/>
  <c r="Q39" i="7"/>
  <c r="Q41" i="7"/>
  <c r="Q35" i="7"/>
  <c r="Q6" i="7"/>
  <c r="Q4" i="7"/>
  <c r="Q153" i="7"/>
  <c r="R10" i="7" s="1"/>
  <c r="Q151" i="7"/>
  <c r="R9" i="7" s="1"/>
  <c r="Q149" i="7"/>
  <c r="R8" i="7" s="1"/>
  <c r="Q147" i="7"/>
  <c r="Q145" i="7"/>
  <c r="Q46" i="7"/>
  <c r="R4" i="7" s="1"/>
  <c r="Q44" i="7"/>
  <c r="R3" i="7" s="1"/>
  <c r="Q42" i="7"/>
  <c r="R2" i="7" s="1"/>
  <c r="Q40" i="7"/>
  <c r="Q36" i="7"/>
  <c r="Q7" i="7"/>
  <c r="Q5" i="7"/>
  <c r="Q1" i="7"/>
  <c r="Q2" i="7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Q25" i="7"/>
  <c r="Q26" i="7"/>
  <c r="Q27" i="7"/>
  <c r="Q28" i="7"/>
  <c r="Q29" i="7"/>
  <c r="Q30" i="7"/>
  <c r="Q31" i="7"/>
  <c r="Q32" i="7"/>
  <c r="Q33" i="7"/>
  <c r="Q34" i="7"/>
  <c r="Q50" i="7" a="1"/>
  <c r="Q50" i="7" s="1"/>
  <c r="Q52" i="7" a="1"/>
  <c r="Q52" i="7" s="1"/>
  <c r="Q54" i="7" a="1"/>
  <c r="Q54" i="7" s="1"/>
  <c r="Q55" i="7"/>
  <c r="Q56" i="7"/>
  <c r="Q57" i="7"/>
  <c r="Q58" i="7"/>
  <c r="Q116" i="7"/>
  <c r="Q117" i="7"/>
  <c r="Q118" i="7"/>
  <c r="Q119" i="7"/>
  <c r="Q120" i="7"/>
  <c r="Q121" i="7"/>
  <c r="Q122" i="7"/>
  <c r="Q123" i="7"/>
  <c r="Q124" i="7"/>
  <c r="Q125" i="7"/>
  <c r="Q126" i="7"/>
  <c r="Q127" i="7"/>
  <c r="Q128" i="7"/>
  <c r="Q129" i="7"/>
  <c r="Q130" i="7"/>
  <c r="Q131" i="7"/>
  <c r="Q132" i="7"/>
  <c r="Q133" i="7"/>
  <c r="Q134" i="7"/>
  <c r="Q135" i="7"/>
  <c r="Q136" i="7"/>
  <c r="Q137" i="7"/>
  <c r="Q138" i="7"/>
  <c r="Q139" i="7"/>
  <c r="Q140" i="7"/>
  <c r="Q141" i="7"/>
  <c r="Q142" i="7"/>
  <c r="Q157" i="7" a="1"/>
  <c r="Q157" i="7" s="1"/>
  <c r="Q159" i="7" a="1"/>
  <c r="Q159" i="7" s="1"/>
  <c r="Q161" i="7" a="1"/>
  <c r="Q161" i="7" s="1"/>
  <c r="Q162" i="7"/>
  <c r="Q163" i="7"/>
  <c r="Q164" i="7"/>
  <c r="Q165" i="7"/>
  <c r="Q168" i="7"/>
  <c r="E214" i="7"/>
  <c r="Q166" i="7" s="1"/>
  <c r="L4" i="2" a="1"/>
  <c r="L4" i="2" s="1"/>
  <c r="E81" i="7"/>
  <c r="Q59" i="7" s="1"/>
  <c r="Q103" i="7" l="1"/>
  <c r="F140" i="7"/>
  <c r="E64" i="7"/>
  <c r="Q47" i="7" s="1"/>
  <c r="E196" i="7"/>
  <c r="Q154" i="7" s="1"/>
  <c r="F196" i="7" l="1"/>
  <c r="Q155" i="7" s="1"/>
  <c r="F64" i="7"/>
  <c r="Q48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<sst xmlns="http://schemas.openxmlformats.org/spreadsheetml/2006/main" count="541" uniqueCount="297">
  <si>
    <t>Male</t>
  </si>
  <si>
    <t>Female</t>
  </si>
  <si>
    <t>Hispanic or Latino</t>
  </si>
  <si>
    <t>American Indian or Alaska Native</t>
  </si>
  <si>
    <t>Asian</t>
  </si>
  <si>
    <t>Black or African American</t>
  </si>
  <si>
    <t>Native Hawaiian or Other Pacific Islander</t>
  </si>
  <si>
    <t>White</t>
  </si>
  <si>
    <t>Other</t>
  </si>
  <si>
    <t>Unknown</t>
  </si>
  <si>
    <t>Religious Affiliation</t>
  </si>
  <si>
    <t>Christian - Evangelical Protestant</t>
  </si>
  <si>
    <t>Christian - Mainline Protestant</t>
  </si>
  <si>
    <t>Christian - Historically Black Protestant</t>
  </si>
  <si>
    <t>Christian - Catholic</t>
  </si>
  <si>
    <t>Christian - Mormon</t>
  </si>
  <si>
    <t>Christian - Orthodox</t>
  </si>
  <si>
    <t>Christian - Jehovah's Witness</t>
  </si>
  <si>
    <t>Christian - Other</t>
  </si>
  <si>
    <t>Jewish</t>
  </si>
  <si>
    <t>Muslim</t>
  </si>
  <si>
    <t>Buddhist</t>
  </si>
  <si>
    <t>Hindu</t>
  </si>
  <si>
    <t>Atheist</t>
  </si>
  <si>
    <t>Agnostic</t>
  </si>
  <si>
    <t>Don't Know</t>
  </si>
  <si>
    <t>Sex</t>
  </si>
  <si>
    <t>Ethnicity</t>
  </si>
  <si>
    <t>Diagnoses - manual entry</t>
  </si>
  <si>
    <t>Mobiility</t>
  </si>
  <si>
    <t>Independent, full function</t>
  </si>
  <si>
    <t>Walking Aid</t>
  </si>
  <si>
    <t>Assist X1</t>
  </si>
  <si>
    <t>Assist X2</t>
  </si>
  <si>
    <t>Bed to Chair</t>
  </si>
  <si>
    <t>Bedbound</t>
  </si>
  <si>
    <t>Notable Lab Values - manual entry or connected to database</t>
  </si>
  <si>
    <t>Motor Ability</t>
  </si>
  <si>
    <t>MRI</t>
  </si>
  <si>
    <t>CT</t>
  </si>
  <si>
    <t>EEG</t>
  </si>
  <si>
    <t>PET</t>
  </si>
  <si>
    <t>Eye Opening</t>
  </si>
  <si>
    <t>Symptoms</t>
  </si>
  <si>
    <t>Hallucinations</t>
  </si>
  <si>
    <t>Pain</t>
  </si>
  <si>
    <t>Nausea</t>
  </si>
  <si>
    <t>Vommiting</t>
  </si>
  <si>
    <t>0-10 score</t>
  </si>
  <si>
    <t>Diarhea</t>
  </si>
  <si>
    <t>Constipation</t>
  </si>
  <si>
    <t>Drowsiness</t>
  </si>
  <si>
    <t>chest</t>
  </si>
  <si>
    <t>generalized</t>
  </si>
  <si>
    <t>localized</t>
  </si>
  <si>
    <t>Work of Breathing</t>
  </si>
  <si>
    <t>Coughing</t>
  </si>
  <si>
    <t>Wheezing</t>
  </si>
  <si>
    <t>Increased Secretions</t>
  </si>
  <si>
    <t>Airway Clearance Difficulty</t>
  </si>
  <si>
    <t>Incontinence of Urine</t>
  </si>
  <si>
    <t>Incontinence of Bowels</t>
  </si>
  <si>
    <t>Urinary Retention</t>
  </si>
  <si>
    <t>Spontaneous</t>
  </si>
  <si>
    <t>To Sound</t>
  </si>
  <si>
    <t>To Pressure</t>
  </si>
  <si>
    <t>None</t>
  </si>
  <si>
    <t>Verbal Response</t>
  </si>
  <si>
    <t>Oriented</t>
  </si>
  <si>
    <t>Confused</t>
  </si>
  <si>
    <t>Sounds</t>
  </si>
  <si>
    <t>Motor Response</t>
  </si>
  <si>
    <t>Obey Commands</t>
  </si>
  <si>
    <t>Move to Localised pain</t>
  </si>
  <si>
    <t>Flex to Withdraw from Pain</t>
  </si>
  <si>
    <t>Abnormal Flexion</t>
  </si>
  <si>
    <t>Abnormal Extension</t>
  </si>
  <si>
    <t>Words</t>
  </si>
  <si>
    <t>Image Study Type</t>
  </si>
  <si>
    <t>Mild</t>
  </si>
  <si>
    <t>Moderate</t>
  </si>
  <si>
    <t>Severe</t>
  </si>
  <si>
    <t>Memory</t>
  </si>
  <si>
    <t>Long Term</t>
  </si>
  <si>
    <t>Remembers past personal/historical events accurately</t>
  </si>
  <si>
    <t>Remembers past personal/historical events with some mistakes</t>
  </si>
  <si>
    <t>Confused, some accuracy</t>
  </si>
  <si>
    <t>Confused, no accuracy</t>
  </si>
  <si>
    <t>Short Term</t>
  </si>
  <si>
    <t>Remembers recent events accurately</t>
  </si>
  <si>
    <t>Remembers recent events with some mistakes</t>
  </si>
  <si>
    <t>Recall Speed</t>
  </si>
  <si>
    <t>Immediate</t>
  </si>
  <si>
    <t>Delayed</t>
  </si>
  <si>
    <t>Orientation</t>
  </si>
  <si>
    <t>Person</t>
  </si>
  <si>
    <t>Place</t>
  </si>
  <si>
    <t>Time</t>
  </si>
  <si>
    <t>Event</t>
  </si>
  <si>
    <t>Perception</t>
  </si>
  <si>
    <t>Spiritual Experience</t>
  </si>
  <si>
    <t>Yes</t>
  </si>
  <si>
    <t>No</t>
  </si>
  <si>
    <t>Level of Interaction</t>
  </si>
  <si>
    <t>To stimuli</t>
  </si>
  <si>
    <t>Clear</t>
  </si>
  <si>
    <t>Unclear</t>
  </si>
  <si>
    <t>Disoriented</t>
  </si>
  <si>
    <t>Eye contact</t>
  </si>
  <si>
    <t>Duration</t>
  </si>
  <si>
    <t>Age</t>
  </si>
  <si>
    <t>Submitter</t>
  </si>
  <si>
    <t>Heidi Placella</t>
  </si>
  <si>
    <t>Andrew Re</t>
  </si>
  <si>
    <t>Date</t>
  </si>
  <si>
    <t>Owner</t>
  </si>
  <si>
    <t>Description</t>
  </si>
  <si>
    <t>sex_code</t>
  </si>
  <si>
    <t>sex</t>
  </si>
  <si>
    <t>age</t>
  </si>
  <si>
    <t>ethnicity</t>
  </si>
  <si>
    <t>religious_affiliation</t>
  </si>
  <si>
    <t>pain_generalized_pre_exp</t>
  </si>
  <si>
    <t>pain_localized_pre_exp</t>
  </si>
  <si>
    <t>incontinence_of_urine_pre_exp</t>
  </si>
  <si>
    <t>incontinence_of_bowels_pre_exp</t>
  </si>
  <si>
    <t>urinary_retention_pre_exp</t>
  </si>
  <si>
    <t>nausia_pre_exp</t>
  </si>
  <si>
    <t>vomiting_pre_exp</t>
  </si>
  <si>
    <t>diarrhea_pre_exp</t>
  </si>
  <si>
    <t>constipation_pre_exp</t>
  </si>
  <si>
    <t>shortness_of_breath_pre_exp</t>
  </si>
  <si>
    <t>airway_clearance_pre_exp</t>
  </si>
  <si>
    <t>confusion_pre_exp</t>
  </si>
  <si>
    <t>drowsiness_pre_exp</t>
  </si>
  <si>
    <t>cough_pre_exp</t>
  </si>
  <si>
    <t>wheezing_pre_exp</t>
  </si>
  <si>
    <t>palpitations_pre_exp</t>
  </si>
  <si>
    <t>tachycardia_pre_exp</t>
  </si>
  <si>
    <t>bradycardis_pre_exp</t>
  </si>
  <si>
    <t>hypertension_pre_exp</t>
  </si>
  <si>
    <t>hypotension_pre_exp</t>
  </si>
  <si>
    <t>cognitive_impairment_(severe)_pre_exp</t>
  </si>
  <si>
    <t>cognitive_impairment_(mild)_pre_exp</t>
  </si>
  <si>
    <t>weakness_pre_exp</t>
  </si>
  <si>
    <t>fever_pre_exp</t>
  </si>
  <si>
    <t>anorexia_pre_exp</t>
  </si>
  <si>
    <t>adipsia_pre_exp</t>
  </si>
  <si>
    <t>mobility_pre_exp</t>
  </si>
  <si>
    <t>notable_lab_results_pre_exp</t>
  </si>
  <si>
    <t>diagnoses_pre_exp</t>
  </si>
  <si>
    <t>level_of_interaction_pre_exp</t>
  </si>
  <si>
    <t>eye_opening_pre_exp</t>
  </si>
  <si>
    <t>verbal_response_pre_exp</t>
  </si>
  <si>
    <t>motor_response_pre_exp</t>
  </si>
  <si>
    <t>glasgow_coma_score_pre_exp</t>
  </si>
  <si>
    <t>glasgow_severity_pre_exp</t>
  </si>
  <si>
    <t>long_term_memory_pre_exp</t>
  </si>
  <si>
    <t>short_term_memory_pre_exp</t>
  </si>
  <si>
    <t>recall_speed_pre_exp</t>
  </si>
  <si>
    <t>orientation_person_pre_exp</t>
  </si>
  <si>
    <t>orientation_place_pre_exp</t>
  </si>
  <si>
    <t>orientation_time_pre_exp</t>
  </si>
  <si>
    <t>orientation_event_pre_exp</t>
  </si>
  <si>
    <t>orientation_score_pre_exp</t>
  </si>
  <si>
    <t>days_before_death</t>
  </si>
  <si>
    <t>length_of_episode_days</t>
  </si>
  <si>
    <t>length_of_episode_hours</t>
  </si>
  <si>
    <t>episode_narrative</t>
  </si>
  <si>
    <t>other_notes</t>
  </si>
  <si>
    <t>pain_generalized_post_exp</t>
  </si>
  <si>
    <t>pain_localized_post_exp</t>
  </si>
  <si>
    <t>incontinence_of_urine_post_exp</t>
  </si>
  <si>
    <t>incontinence_of_bowels_post_exp</t>
  </si>
  <si>
    <t>urinary_retention_post_exp</t>
  </si>
  <si>
    <t>nausia_post_exp</t>
  </si>
  <si>
    <t>vomiting_post_exp</t>
  </si>
  <si>
    <t>diarrhea_post_exp</t>
  </si>
  <si>
    <t>constipation_post_exp</t>
  </si>
  <si>
    <t>shortness_of_breath_post_exp</t>
  </si>
  <si>
    <t>airway_clearance_post_exp</t>
  </si>
  <si>
    <t>confusion_post_exp</t>
  </si>
  <si>
    <t>drowsiness_post_exp</t>
  </si>
  <si>
    <t>cough_post_exp</t>
  </si>
  <si>
    <t>wheezing_post_exp</t>
  </si>
  <si>
    <t>palpitations_post_exp</t>
  </si>
  <si>
    <t>tachycardia_post_exp</t>
  </si>
  <si>
    <t>bradycardis_post_exp</t>
  </si>
  <si>
    <t>hypertension_post_exp</t>
  </si>
  <si>
    <t>hypotension_post_exp</t>
  </si>
  <si>
    <t>cognitive_impairment_(severe)_post_exp</t>
  </si>
  <si>
    <t>cognitive_impairment_(mild)_post_exp</t>
  </si>
  <si>
    <t>weakness_post_exp</t>
  </si>
  <si>
    <t>fever_post_exp</t>
  </si>
  <si>
    <t>anorexia_post_exp</t>
  </si>
  <si>
    <t>adipsia_post_exp</t>
  </si>
  <si>
    <t>notable_lab_results_post_exp</t>
  </si>
  <si>
    <t>mobility_post_exp</t>
  </si>
  <si>
    <t>level_of_interaction_post_exp</t>
  </si>
  <si>
    <t>eye_opening_post_exp</t>
  </si>
  <si>
    <t>verbal_response_post_exp</t>
  </si>
  <si>
    <t>motor_response_post_exp</t>
  </si>
  <si>
    <t>glasgow_coma_score_post_exp</t>
  </si>
  <si>
    <t>glasgow_severity_post_exp</t>
  </si>
  <si>
    <t>long_term_memory_post_exp</t>
  </si>
  <si>
    <t>short_term_memory_post_exp</t>
  </si>
  <si>
    <t>recall_speed_post_exp</t>
  </si>
  <si>
    <t>orientation_person_post_exp</t>
  </si>
  <si>
    <t>orientation_place_post_exp</t>
  </si>
  <si>
    <t>orientation_time_post_exp</t>
  </si>
  <si>
    <t>orientation_event_post_exp</t>
  </si>
  <si>
    <t>orientation_score_post_exp</t>
  </si>
  <si>
    <t>submitter</t>
  </si>
  <si>
    <t>ethnicity_code</t>
  </si>
  <si>
    <t>religious_affiliation_code</t>
  </si>
  <si>
    <t>mobility_pre_exp_code</t>
  </si>
  <si>
    <t>level_of_interaction_pre_exp_code</t>
  </si>
  <si>
    <t>eye_opening_pre_exp_code</t>
  </si>
  <si>
    <t>verbal_response_pre_exp_code</t>
  </si>
  <si>
    <t>motor_response_pre_exp_code</t>
  </si>
  <si>
    <t>-</t>
  </si>
  <si>
    <t>long_term_memory_pre_exp_code</t>
  </si>
  <si>
    <t>short_term_memory_pre_exp_code</t>
  </si>
  <si>
    <t>recall_speed_pre_exp_code</t>
  </si>
  <si>
    <t>agitation_restlessness_pre_exp</t>
  </si>
  <si>
    <t>agitation_restlessness_post_exp</t>
  </si>
  <si>
    <t>mobility_post_exp_code</t>
  </si>
  <si>
    <t>level_of_interaction_post_exp_code</t>
  </si>
  <si>
    <t>eye_opening_post_exp_code</t>
  </si>
  <si>
    <t>verbal_response_post_exp_code</t>
  </si>
  <si>
    <t>motor_response_post_exp_code</t>
  </si>
  <si>
    <t>long_term_memory_post_exp_code</t>
  </si>
  <si>
    <t>short_term_memory_post_exp_code</t>
  </si>
  <si>
    <t>recall_speed_post_exp_code</t>
  </si>
  <si>
    <t>submitter_code</t>
  </si>
  <si>
    <t>report_number</t>
  </si>
  <si>
    <t>report_date</t>
  </si>
  <si>
    <t>report_time</t>
  </si>
  <si>
    <t>report_name</t>
  </si>
  <si>
    <t>pain_generalized_mid_exp</t>
  </si>
  <si>
    <t>pain_localized_mid_exp</t>
  </si>
  <si>
    <t>incontinence_of_urine_mid_exp</t>
  </si>
  <si>
    <t>incontinence_of_bowels_mid_exp</t>
  </si>
  <si>
    <t>urinary_retention_mid_exp</t>
  </si>
  <si>
    <t>nausia_mid_exp</t>
  </si>
  <si>
    <t>vomiting_mid_exp</t>
  </si>
  <si>
    <t>diarrhea_mid_exp</t>
  </si>
  <si>
    <t>constipation_mid_exp</t>
  </si>
  <si>
    <t>shortness_of_breath_mid_exp</t>
  </si>
  <si>
    <t>airway_clearance_mid_exp</t>
  </si>
  <si>
    <t>confusion_mid_exp</t>
  </si>
  <si>
    <t>drowsiness_mid_exp</t>
  </si>
  <si>
    <t>cough_mid_exp</t>
  </si>
  <si>
    <t>wheezing_mid_exp</t>
  </si>
  <si>
    <t>palpitations_mid_exp</t>
  </si>
  <si>
    <t>tachycardia_mid_exp</t>
  </si>
  <si>
    <t>bradycardis_mid_exp</t>
  </si>
  <si>
    <t>hypertension_mid_exp</t>
  </si>
  <si>
    <t>hypotension_mid_exp</t>
  </si>
  <si>
    <t>cognitive_impairment_(severe)_mid_exp</t>
  </si>
  <si>
    <t>cognitive_impairment_(mild)_mid_exp</t>
  </si>
  <si>
    <t>weakness_mid_exp</t>
  </si>
  <si>
    <t>fever_mid_exp</t>
  </si>
  <si>
    <t>anorexia_mid_exp</t>
  </si>
  <si>
    <t>adipsia_mid_exp</t>
  </si>
  <si>
    <t>agitation_restlessness_mid_exp</t>
  </si>
  <si>
    <t>notable_lab_results_mid_exp</t>
  </si>
  <si>
    <t>mobility_mid_exp_code</t>
  </si>
  <si>
    <t>mobility_mid_exp</t>
  </si>
  <si>
    <t>level_of_interaction_mid_exp_code</t>
  </si>
  <si>
    <t>level_of_interaction_mid_exp</t>
  </si>
  <si>
    <t>eye_opening_mid_exp_code</t>
  </si>
  <si>
    <t>eye_opening_mid_exp</t>
  </si>
  <si>
    <t>verbal_response_mid_exp_code</t>
  </si>
  <si>
    <t>verbal_response_mid_exp</t>
  </si>
  <si>
    <t>motor_response_mid_exp_code</t>
  </si>
  <si>
    <t>motor_response_mid_exp</t>
  </si>
  <si>
    <t>glasgow_coma_score_mid_exp</t>
  </si>
  <si>
    <t>glasgow_severity_mid_exp</t>
  </si>
  <si>
    <t>long_term_memory_mid_exp_code</t>
  </si>
  <si>
    <t>long_term_memory_mid_exp</t>
  </si>
  <si>
    <t>short_term_memory_mid_exp_code</t>
  </si>
  <si>
    <t>short_term_memory_mid_exp</t>
  </si>
  <si>
    <t>recall_speed_mid_exp_code</t>
  </si>
  <si>
    <t>recall_speed_mid_exp</t>
  </si>
  <si>
    <t>orientation_person_mid_exp</t>
  </si>
  <si>
    <t>orientation_place_mid_exp</t>
  </si>
  <si>
    <t>orientation_time_mid_exp</t>
  </si>
  <si>
    <t>orientation_event_mid_exp</t>
  </si>
  <si>
    <t>orientation_score_mid_exp</t>
  </si>
  <si>
    <t>fasdfasdfasfdasf</t>
  </si>
  <si>
    <t>asdfasdfasdfasddf</t>
  </si>
  <si>
    <t>FDA SDF SADF ASDF SAD FSD FSD A</t>
  </si>
  <si>
    <t>FDDDDDDDDD</t>
  </si>
  <si>
    <t>RTREETERTRETRET</t>
  </si>
  <si>
    <t>GKFGHFGKGFFHGF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</si>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</sst>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/>
    <xf numFmtId="0" fontId="4" fillId="0" borderId="0" xfId="0" applyFont="1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horizontal="right"/>
    </xf>
    <xf numFmtId="0" fontId="0" fillId="3" borderId="0" xfId="0" applyFill="1" applyAlignment="1">
      <alignment horizontal="right" shrinkToFit="1"/>
    </xf>
    <xf numFmtId="14" fontId="4" fillId="0" borderId="0" xfId="0" applyNumberFormat="1" applyFont="1"/>
    <xf numFmtId="164" fontId="4" fillId="0" borderId="0" xfId="0" applyNumberFormat="1" applyFont="1"/>
    <xf numFmtId="0" fontId="4" fillId="0" borderId="1" xfId="0" applyFont="1" applyBorder="1"/>
    <xf numFmtId="0" fontId="0" fillId="5" borderId="0" xfId="0" applyFill="1"/>
    <xf numFmtId="0" fontId="0" fillId="4" borderId="1" xfId="0" applyFill="1" applyBorder="1"/>
    <xf numFmtId="0" fontId="0" fillId="4" borderId="1" xfId="0" applyFill="1" applyBorder="1" applyAlignment="1">
      <alignment horizontal="left" vertical="top" wrapText="1"/>
    </xf>
    <xf numFmtId="0" fontId="0" fillId="4" borderId="1" xfId="0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P$1" noThreeD="1"/>
</file>

<file path=xl/ctrlProps/ctrlProp3.xml><?xml version="1.0" encoding="utf-8"?>
<formControlPr xmlns="http://schemas.microsoft.com/office/spreadsheetml/2009/9/main" objectType="Radio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Drop" dropStyle="combo" dx="22" fmlaLink="$P$4" fmlaRange="Options!$A$9:$A$17" noThreeD="1" sel="1" val="0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Drop" dropStyle="combo" dx="22" fmlaLink="$P$6" fmlaRange="Options!$A$20:$A$36" noThreeD="1" sel="1" val="0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Drop" dropStyle="combo" dx="22" fmlaLink="$P$35" fmlaRange="Options!$A$41:$A$47" noThreeD="1" sel="1" val="0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Drop" dropStyle="combo" dx="22" fmlaLink="$P$41" fmlaRange="Options!$A$60:$A$64" noThreeD="1" sel="1" val="0"/>
</file>

<file path=xl/ctrlProps/ctrlProp15.xml><?xml version="1.0" encoding="utf-8"?>
<formControlPr xmlns="http://schemas.microsoft.com/office/spreadsheetml/2009/9/main" objectType="Drop" dropStyle="combo" dx="22" fmlaLink="$P$43" fmlaRange="Options!$A$66:$A$71" noThreeD="1" sel="1" val="0"/>
</file>

<file path=xl/ctrlProps/ctrlProp16.xml><?xml version="1.0" encoding="utf-8"?>
<formControlPr xmlns="http://schemas.microsoft.com/office/spreadsheetml/2009/9/main" objectType="Drop" dropStyle="combo" dx="22" fmlaLink="$P$45" fmlaRange="Options!$A$73:$A$79" noThreeD="1" sel="1" val="0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ctrlProps/ctrlProp21.xml><?xml version="1.0" encoding="utf-8"?>
<formControlPr xmlns="http://schemas.microsoft.com/office/spreadsheetml/2009/9/main" objectType="Drop" dropStyle="combo" dx="22" fmlaLink="$P$49" fmlaRange="Options!$A$104:$A$108" noThreeD="1" sel="1" val="0"/>
</file>

<file path=xl/ctrlProps/ctrlProp22.xml><?xml version="1.0" encoding="utf-8"?>
<formControlPr xmlns="http://schemas.microsoft.com/office/spreadsheetml/2009/9/main" objectType="Drop" dropStyle="combo" dx="22" fmlaLink="$P$53" fmlaRange="Options!$A$116:$A$119" noThreeD="1" sel="1" val="0"/>
</file>

<file path=xl/ctrlProps/ctrlProp23.xml><?xml version="1.0" encoding="utf-8"?>
<formControlPr xmlns="http://schemas.microsoft.com/office/spreadsheetml/2009/9/main" objectType="CheckBox" fmlaLink="$P$57" lockText="1" noThreeD="1"/>
</file>

<file path=xl/ctrlProps/ctrlProp24.xml><?xml version="1.0" encoding="utf-8"?>
<formControlPr xmlns="http://schemas.microsoft.com/office/spreadsheetml/2009/9/main" objectType="CheckBox" fmlaLink="$P$58" lockText="1" noThreeD="1"/>
</file>

<file path=xl/ctrlProps/ctrlProp25.xml><?xml version="1.0" encoding="utf-8"?>
<formControlPr xmlns="http://schemas.microsoft.com/office/spreadsheetml/2009/9/main" objectType="Label" lockText="1"/>
</file>

<file path=xl/ctrlProps/ctrlProp26.xml><?xml version="1.0" encoding="utf-8"?>
<formControlPr xmlns="http://schemas.microsoft.com/office/spreadsheetml/2009/9/main" objectType="GBox" noThreeD="1"/>
</file>

<file path=xl/ctrlProps/ctrlProp27.xml><?xml version="1.0" encoding="utf-8"?>
<formControlPr xmlns="http://schemas.microsoft.com/office/spreadsheetml/2009/9/main" objectType="CheckBox" fmlaLink="$P$8" lockText="1" noThreeD="1"/>
</file>

<file path=xl/ctrlProps/ctrlProp28.xml><?xml version="1.0" encoding="utf-8"?>
<formControlPr xmlns="http://schemas.microsoft.com/office/spreadsheetml/2009/9/main" objectType="CheckBox" fmlaLink="$P$9" lockText="1" noThreeD="1"/>
</file>

<file path=xl/ctrlProps/ctrlProp29.xml><?xml version="1.0" encoding="utf-8"?>
<formControlPr xmlns="http://schemas.microsoft.com/office/spreadsheetml/2009/9/main" objectType="CheckBox" fmlaLink="$P$10" lockText="1" noThreeD="1"/>
</file>

<file path=xl/ctrlProps/ctrlProp30.xml><?xml version="1.0" encoding="utf-8"?>
<formControlPr xmlns="http://schemas.microsoft.com/office/spreadsheetml/2009/9/main" objectType="CheckBox" fmlaLink="$P$11" lockText="1" noThreeD="1"/>
</file>

<file path=xl/ctrlProps/ctrlProp31.xml><?xml version="1.0" encoding="utf-8"?>
<formControlPr xmlns="http://schemas.microsoft.com/office/spreadsheetml/2009/9/main" objectType="CheckBox" fmlaLink="$P$12" lockText="1" noThreeD="1"/>
</file>

<file path=xl/ctrlProps/ctrlProp32.xml><?xml version="1.0" encoding="utf-8"?>
<formControlPr xmlns="http://schemas.microsoft.com/office/spreadsheetml/2009/9/main" objectType="CheckBox" fmlaLink="$P$13" lockText="1" noThreeD="1"/>
</file>

<file path=xl/ctrlProps/ctrlProp33.xml><?xml version="1.0" encoding="utf-8"?>
<formControlPr xmlns="http://schemas.microsoft.com/office/spreadsheetml/2009/9/main" objectType="CheckBox" fmlaLink="$P$14" lockText="1" noThreeD="1"/>
</file>

<file path=xl/ctrlProps/ctrlProp34.xml><?xml version="1.0" encoding="utf-8"?>
<formControlPr xmlns="http://schemas.microsoft.com/office/spreadsheetml/2009/9/main" objectType="CheckBox" fmlaLink="$P$15" lockText="1" noThreeD="1"/>
</file>

<file path=xl/ctrlProps/ctrlProp35.xml><?xml version="1.0" encoding="utf-8"?>
<formControlPr xmlns="http://schemas.microsoft.com/office/spreadsheetml/2009/9/main" objectType="CheckBox" fmlaLink="$P$16" lockText="1" noThreeD="1"/>
</file>

<file path=xl/ctrlProps/ctrlProp36.xml><?xml version="1.0" encoding="utf-8"?>
<formControlPr xmlns="http://schemas.microsoft.com/office/spreadsheetml/2009/9/main" objectType="CheckBox" fmlaLink="$P$17" lockText="1" noThreeD="1"/>
</file>

<file path=xl/ctrlProps/ctrlProp37.xml><?xml version="1.0" encoding="utf-8"?>
<formControlPr xmlns="http://schemas.microsoft.com/office/spreadsheetml/2009/9/main" objectType="CheckBox" fmlaLink="$P$18" lockText="1" noThreeD="1"/>
</file>

<file path=xl/ctrlProps/ctrlProp38.xml><?xml version="1.0" encoding="utf-8"?>
<formControlPr xmlns="http://schemas.microsoft.com/office/spreadsheetml/2009/9/main" objectType="CheckBox" fmlaLink="$P$19" lockText="1" noThreeD="1"/>
</file>

<file path=xl/ctrlProps/ctrlProp39.xml><?xml version="1.0" encoding="utf-8"?>
<formControlPr xmlns="http://schemas.microsoft.com/office/spreadsheetml/2009/9/main" objectType="CheckBox" fmlaLink="$P$20" lockText="1" noThreeD="1"/>
</file>

<file path=xl/ctrlProps/ctrlProp40.xml><?xml version="1.0" encoding="utf-8"?>
<formControlPr xmlns="http://schemas.microsoft.com/office/spreadsheetml/2009/9/main" objectType="CheckBox" fmlaLink="$P$21" lockText="1" noThreeD="1"/>
</file>

<file path=xl/ctrlProps/ctrlProp41.xml><?xml version="1.0" encoding="utf-8"?>
<formControlPr xmlns="http://schemas.microsoft.com/office/spreadsheetml/2009/9/main" objectType="CheckBox" fmlaLink="$P$22" lockText="1" noThreeD="1"/>
</file>

<file path=xl/ctrlProps/ctrlProp42.xml><?xml version="1.0" encoding="utf-8"?>
<formControlPr xmlns="http://schemas.microsoft.com/office/spreadsheetml/2009/9/main" objectType="CheckBox" fmlaLink="$P$23" lockText="1" noThreeD="1"/>
</file>

<file path=xl/ctrlProps/ctrlProp43.xml><?xml version="1.0" encoding="utf-8"?>
<formControlPr xmlns="http://schemas.microsoft.com/office/spreadsheetml/2009/9/main" objectType="CheckBox" fmlaLink="$P$24" lockText="1" noThreeD="1"/>
</file>

<file path=xl/ctrlProps/ctrlProp44.xml><?xml version="1.0" encoding="utf-8"?>
<formControlPr xmlns="http://schemas.microsoft.com/office/spreadsheetml/2009/9/main" objectType="CheckBox" fmlaLink="$P$25" lockText="1" noThreeD="1"/>
</file>

<file path=xl/ctrlProps/ctrlProp45.xml><?xml version="1.0" encoding="utf-8"?>
<formControlPr xmlns="http://schemas.microsoft.com/office/spreadsheetml/2009/9/main" objectType="CheckBox" fmlaLink="$P$26" lockText="1" noThreeD="1"/>
</file>

<file path=xl/ctrlProps/ctrlProp46.xml><?xml version="1.0" encoding="utf-8"?>
<formControlPr xmlns="http://schemas.microsoft.com/office/spreadsheetml/2009/9/main" objectType="CheckBox" fmlaLink="$P$27" lockText="1" noThreeD="1"/>
</file>

<file path=xl/ctrlProps/ctrlProp47.xml><?xml version="1.0" encoding="utf-8"?>
<formControlPr xmlns="http://schemas.microsoft.com/office/spreadsheetml/2009/9/main" objectType="CheckBox" fmlaLink="$P$28" lockText="1" noThreeD="1"/>
</file>

<file path=xl/ctrlProps/ctrlProp48.xml><?xml version="1.0" encoding="utf-8"?>
<formControlPr xmlns="http://schemas.microsoft.com/office/spreadsheetml/2009/9/main" objectType="CheckBox" fmlaLink="$P$29" lockText="1" noThreeD="1"/>
</file>

<file path=xl/ctrlProps/ctrlProp49.xml><?xml version="1.0" encoding="utf-8"?>
<formControlPr xmlns="http://schemas.microsoft.com/office/spreadsheetml/2009/9/main" objectType="CheckBox" fmlaLink="$P$30" lockText="1" noThreeD="1"/>
</file>

<file path=xl/ctrlProps/ctrlProp50.xml><?xml version="1.0" encoding="utf-8"?>
<formControlPr xmlns="http://schemas.microsoft.com/office/spreadsheetml/2009/9/main" objectType="CheckBox" fmlaLink="$P$31" lockText="1" noThreeD="1"/>
</file>

<file path=xl/ctrlProps/ctrlProp51.xml><?xml version="1.0" encoding="utf-8"?>
<formControlPr xmlns="http://schemas.microsoft.com/office/spreadsheetml/2009/9/main" objectType="CheckBox" fmlaLink="$P$32" lockText="1" noThreeD="1"/>
</file>

<file path=xl/ctrlProps/ctrlProp52.xml><?xml version="1.0" encoding="utf-8"?>
<formControlPr xmlns="http://schemas.microsoft.com/office/spreadsheetml/2009/9/main" objectType="CheckBox" fmlaLink="$P$33" lockText="1" noThreeD="1"/>
</file>

<file path=xl/ctrlProps/ctrlProp53.xml><?xml version="1.0" encoding="utf-8"?>
<formControlPr xmlns="http://schemas.microsoft.com/office/spreadsheetml/2009/9/main" objectType="CheckBox" fmlaLink="$P$34" lockText="1" noThreeD="1"/>
</file>

<file path=xl/ctrlProps/ctrlProp54.xml><?xml version="1.0" encoding="utf-8"?>
<formControlPr xmlns="http://schemas.microsoft.com/office/spreadsheetml/2009/9/main" objectType="GBox" noThreeD="1"/>
</file>

<file path=xl/ctrlProps/ctrlProp55.xml><?xml version="1.0" encoding="utf-8"?>
<formControlPr xmlns="http://schemas.microsoft.com/office/spreadsheetml/2009/9/main" objectType="Drop" dropStyle="combo" dx="22" fmlaLink="$P$51" fmlaRange="Options!$A$110:$A$114" noThreeD="1" sel="1" val="0"/>
</file>

<file path=xl/ctrlProps/ctrlProp56.xml><?xml version="1.0" encoding="utf-8"?>
<formControlPr xmlns="http://schemas.microsoft.com/office/spreadsheetml/2009/9/main" objectType="Drop" dropStyle="combo" dx="22" fmlaLink="$P$39" fmlaRange="Options!$A$129:$A$136" noThreeD="1" sel="1" val="0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Label" lockText="1"/>
</file>

<file path=xl/ctrlProps/ctrlProp59.xml><?xml version="1.0" encoding="utf-8"?>
<formControlPr xmlns="http://schemas.microsoft.com/office/spreadsheetml/2009/9/main" objectType="GBox" noThreeD="1"/>
</file>

<file path=xl/ctrlProps/ctrlProp60.xml><?xml version="1.0" encoding="utf-8"?>
<formControlPr xmlns="http://schemas.microsoft.com/office/spreadsheetml/2009/9/main" objectType="Drop" dropStyle="combo" dx="22" fmlaLink="$P$167" fmlaRange="Options!$A$145:$A$147" noThreeD="1" sel="1" val="0"/>
</file>

<file path=xl/ctrlProps/ctrlProp61.xml><?xml version="1.0" encoding="utf-8"?>
<formControlPr xmlns="http://schemas.microsoft.com/office/spreadsheetml/2009/9/main" objectType="GBox" noThreeD="1"/>
</file>

<file path=xl/ctrlProps/ctrlProp62.xml><?xml version="1.0" encoding="utf-8"?>
<formControlPr xmlns="http://schemas.microsoft.com/office/spreadsheetml/2009/9/main" objectType="Drop" dropStyle="combo" dx="22" fmlaLink="$P$144" fmlaRange="Options!$A$41:$A$47" noThreeD="1" sel="1" val="0"/>
</file>

<file path=xl/ctrlProps/ctrlProp63.xml><?xml version="1.0" encoding="utf-8"?>
<formControlPr xmlns="http://schemas.microsoft.com/office/spreadsheetml/2009/9/main" objectType="GBox" noThreeD="1"/>
</file>

<file path=xl/ctrlProps/ctrlProp64.xml><?xml version="1.0" encoding="utf-8"?>
<formControlPr xmlns="http://schemas.microsoft.com/office/spreadsheetml/2009/9/main" objectType="Label" lockText="1"/>
</file>

<file path=xl/ctrlProps/ctrlProp65.xml><?xml version="1.0" encoding="utf-8"?>
<formControlPr xmlns="http://schemas.microsoft.com/office/spreadsheetml/2009/9/main" objectType="Label" lockText="1"/>
</file>

<file path=xl/ctrlProps/ctrlProp66.xml><?xml version="1.0" encoding="utf-8"?>
<formControlPr xmlns="http://schemas.microsoft.com/office/spreadsheetml/2009/9/main" objectType="Label" lockText="1"/>
</file>

<file path=xl/ctrlProps/ctrlProp67.xml><?xml version="1.0" encoding="utf-8"?>
<formControlPr xmlns="http://schemas.microsoft.com/office/spreadsheetml/2009/9/main" objectType="Drop" dropStyle="combo" dx="22" fmlaLink="$P$148" fmlaRange="Options!$A$60:$A$64" noThreeD="1" sel="1" val="0"/>
</file>

<file path=xl/ctrlProps/ctrlProp68.xml><?xml version="1.0" encoding="utf-8"?>
<formControlPr xmlns="http://schemas.microsoft.com/office/spreadsheetml/2009/9/main" objectType="Drop" dropStyle="combo" dx="22" fmlaLink="$P$150" fmlaRange="Options!$A$66:$A$71" noThreeD="1" sel="1" val="0"/>
</file>

<file path=xl/ctrlProps/ctrlProp69.xml><?xml version="1.0" encoding="utf-8"?>
<formControlPr xmlns="http://schemas.microsoft.com/office/spreadsheetml/2009/9/main" objectType="Drop" dropStyle="combo" dx="22" fmlaLink="$P$152" fmlaRange="Options!$A$73:$A$79" noThreeD="1" sel="1" val="0"/>
</file>

<file path=xl/ctrlProps/ctrlProp70.xml><?xml version="1.0" encoding="utf-8"?>
<formControlPr xmlns="http://schemas.microsoft.com/office/spreadsheetml/2009/9/main" objectType="Drop" dropStyle="combo" dx="22" fmlaLink="$P$156" fmlaRange="Options!$A$104:$A$108" noThreeD="1" sel="1" val="0"/>
</file>

<file path=xl/ctrlProps/ctrlProp71.xml><?xml version="1.0" encoding="utf-8"?>
<formControlPr xmlns="http://schemas.microsoft.com/office/spreadsheetml/2009/9/main" objectType="Drop" dropStyle="combo" dx="22" fmlaLink="$P$160" fmlaRange="Options!$A$116:$A$119" noThreeD="1" sel="1" val="0"/>
</file>

<file path=xl/ctrlProps/ctrlProp72.xml><?xml version="1.0" encoding="utf-8"?>
<formControlPr xmlns="http://schemas.microsoft.com/office/spreadsheetml/2009/9/main" objectType="CheckBox" fmlaLink="$P$162" lockText="1" noThreeD="1"/>
</file>

<file path=xl/ctrlProps/ctrlProp73.xml><?xml version="1.0" encoding="utf-8"?>
<formControlPr xmlns="http://schemas.microsoft.com/office/spreadsheetml/2009/9/main" objectType="CheckBox" fmlaLink="$P$163" lockText="1" noThreeD="1"/>
</file>

<file path=xl/ctrlProps/ctrlProp74.xml><?xml version="1.0" encoding="utf-8"?>
<formControlPr xmlns="http://schemas.microsoft.com/office/spreadsheetml/2009/9/main" objectType="CheckBox" fmlaLink="$P$164" lockText="1" noThreeD="1"/>
</file>

<file path=xl/ctrlProps/ctrlProp75.xml><?xml version="1.0" encoding="utf-8"?>
<formControlPr xmlns="http://schemas.microsoft.com/office/spreadsheetml/2009/9/main" objectType="CheckBox" fmlaLink="$P$165" lockText="1" noThreeD="1"/>
</file>

<file path=xl/ctrlProps/ctrlProp76.xml><?xml version="1.0" encoding="utf-8"?>
<formControlPr xmlns="http://schemas.microsoft.com/office/spreadsheetml/2009/9/main" objectType="Label" lockText="1"/>
</file>

<file path=xl/ctrlProps/ctrlProp77.xml><?xml version="1.0" encoding="utf-8"?>
<formControlPr xmlns="http://schemas.microsoft.com/office/spreadsheetml/2009/9/main" objectType="GBox" noThreeD="1"/>
</file>

<file path=xl/ctrlProps/ctrlProp78.xml><?xml version="1.0" encoding="utf-8"?>
<formControlPr xmlns="http://schemas.microsoft.com/office/spreadsheetml/2009/9/main" objectType="CheckBox" fmlaLink="$P$116" lockText="1" noThreeD="1"/>
</file>

<file path=xl/ctrlProps/ctrlProp79.xml><?xml version="1.0" encoding="utf-8"?>
<formControlPr xmlns="http://schemas.microsoft.com/office/spreadsheetml/2009/9/main" objectType="CheckBox" fmlaLink="$P$117" lockText="1" noThreeD="1"/>
</file>

<file path=xl/ctrlProps/ctrlProp80.xml><?xml version="1.0" encoding="utf-8"?>
<formControlPr xmlns="http://schemas.microsoft.com/office/spreadsheetml/2009/9/main" objectType="CheckBox" fmlaLink="$P$118" lockText="1" noThreeD="1"/>
</file>

<file path=xl/ctrlProps/ctrlProp81.xml><?xml version="1.0" encoding="utf-8"?>
<formControlPr xmlns="http://schemas.microsoft.com/office/spreadsheetml/2009/9/main" objectType="CheckBox" fmlaLink="$P$119" lockText="1" noThreeD="1"/>
</file>

<file path=xl/ctrlProps/ctrlProp82.xml><?xml version="1.0" encoding="utf-8"?>
<formControlPr xmlns="http://schemas.microsoft.com/office/spreadsheetml/2009/9/main" objectType="CheckBox" fmlaLink="$P$120" lockText="1" noThreeD="1"/>
</file>

<file path=xl/ctrlProps/ctrlProp83.xml><?xml version="1.0" encoding="utf-8"?>
<formControlPr xmlns="http://schemas.microsoft.com/office/spreadsheetml/2009/9/main" objectType="CheckBox" fmlaLink="$P$121" lockText="1" noThreeD="1"/>
</file>

<file path=xl/ctrlProps/ctrlProp84.xml><?xml version="1.0" encoding="utf-8"?>
<formControlPr xmlns="http://schemas.microsoft.com/office/spreadsheetml/2009/9/main" objectType="CheckBox" fmlaLink="$P$122" lockText="1" noThreeD="1"/>
</file>

<file path=xl/ctrlProps/ctrlProp85.xml><?xml version="1.0" encoding="utf-8"?>
<formControlPr xmlns="http://schemas.microsoft.com/office/spreadsheetml/2009/9/main" objectType="CheckBox" fmlaLink="$P$123" lockText="1" noThreeD="1"/>
</file>

<file path=xl/ctrlProps/ctrlProp86.xml><?xml version="1.0" encoding="utf-8"?>
<formControlPr xmlns="http://schemas.microsoft.com/office/spreadsheetml/2009/9/main" objectType="CheckBox" fmlaLink="$P$124" lockText="1" noThreeD="1"/>
</file>

<file path=xl/ctrlProps/ctrlProp87.xml><?xml version="1.0" encoding="utf-8"?>
<formControlPr xmlns="http://schemas.microsoft.com/office/spreadsheetml/2009/9/main" objectType="CheckBox" fmlaLink="$P$125" lockText="1" noThreeD="1"/>
</file>

<file path=xl/ctrlProps/ctrlProp88.xml><?xml version="1.0" encoding="utf-8"?>
<formControlPr xmlns="http://schemas.microsoft.com/office/spreadsheetml/2009/9/main" objectType="CheckBox" fmlaLink="$P$126" lockText="1" noThreeD="1"/>
</file>

<file path=xl/ctrlProps/ctrlProp89.xml><?xml version="1.0" encoding="utf-8"?>
<formControlPr xmlns="http://schemas.microsoft.com/office/spreadsheetml/2009/9/main" objectType="CheckBox" fmlaLink="$P$127" lockText="1" noThreeD="1"/>
</file>

<file path=xl/ctrlProps/ctrlProp90.xml><?xml version="1.0" encoding="utf-8"?>
<formControlPr xmlns="http://schemas.microsoft.com/office/spreadsheetml/2009/9/main" objectType="CheckBox" fmlaLink="$P$128" lockText="1" noThreeD="1"/>
</file>

<file path=xl/ctrlProps/ctrlProp91.xml><?xml version="1.0" encoding="utf-8"?>
<formControlPr xmlns="http://schemas.microsoft.com/office/spreadsheetml/2009/9/main" objectType="CheckBox" fmlaLink="$P$129" lockText="1" noThreeD="1"/>
</file>

<file path=xl/ctrlProps/ctrlProp92.xml><?xml version="1.0" encoding="utf-8"?>
<formControlPr xmlns="http://schemas.microsoft.com/office/spreadsheetml/2009/9/main" objectType="CheckBox" fmlaLink="$P$130" lockText="1" noThreeD="1"/>
</file>

<file path=xl/ctrlProps/ctrlProp93.xml><?xml version="1.0" encoding="utf-8"?>
<formControlPr xmlns="http://schemas.microsoft.com/office/spreadsheetml/2009/9/main" objectType="CheckBox" fmlaLink="$P$131" lockText="1" noThreeD="1"/>
</file>

<file path=xl/ctrlProps/ctrlProp94.xml><?xml version="1.0" encoding="utf-8"?>
<formControlPr xmlns="http://schemas.microsoft.com/office/spreadsheetml/2009/9/main" objectType="CheckBox" fmlaLink="$P$132" lockText="1" noThreeD="1"/>
</file>

<file path=xl/ctrlProps/ctrlProp95.xml><?xml version="1.0" encoding="utf-8"?>
<formControlPr xmlns="http://schemas.microsoft.com/office/spreadsheetml/2009/9/main" objectType="CheckBox" fmlaLink="$P$133" lockText="1" noThreeD="1"/>
</file>

<file path=xl/ctrlProps/ctrlProp96.xml><?xml version="1.0" encoding="utf-8"?>
<formControlPr xmlns="http://schemas.microsoft.com/office/spreadsheetml/2009/9/main" objectType="CheckBox" fmlaLink="$P$134" lockText="1" noThreeD="1"/>
</file>

<file path=xl/ctrlProps/ctrlProp97.xml><?xml version="1.0" encoding="utf-8"?>
<formControlPr xmlns="http://schemas.microsoft.com/office/spreadsheetml/2009/9/main" objectType="CheckBox" fmlaLink="$P$135" lockText="1" noThreeD="1"/>
</file>

<file path=xl/ctrlProps/ctrlProp98.xml><?xml version="1.0" encoding="utf-8"?>
<formControlPr xmlns="http://schemas.microsoft.com/office/spreadsheetml/2009/9/main" objectType="CheckBox" fmlaLink="$P$136" lockText="1" noThreeD="1"/>
</file>

<file path=xl/ctrlProps/ctrlProp99.xml><?xml version="1.0" encoding="utf-8"?>
<formControlPr xmlns="http://schemas.microsoft.com/office/spreadsheetml/2009/9/main" objectType="CheckBox" fmlaLink="$P$137" lockText="1" noThreeD="1"/>
</file>

<file path=xl/ctrlProps/ctrlProp100.xml><?xml version="1.0" encoding="utf-8"?>
<formControlPr xmlns="http://schemas.microsoft.com/office/spreadsheetml/2009/9/main" objectType="CheckBox" fmlaLink="$P$138" lockText="1" noThreeD="1"/>
</file>

<file path=xl/ctrlProps/ctrlProp101.xml><?xml version="1.0" encoding="utf-8"?>
<formControlPr xmlns="http://schemas.microsoft.com/office/spreadsheetml/2009/9/main" objectType="CheckBox" fmlaLink="$P$139" lockText="1" noThreeD="1"/>
</file>

<file path=xl/ctrlProps/ctrlProp102.xml><?xml version="1.0" encoding="utf-8"?>
<formControlPr xmlns="http://schemas.microsoft.com/office/spreadsheetml/2009/9/main" objectType="CheckBox" fmlaLink="$P$140" lockText="1" noThreeD="1"/>
</file>

<file path=xl/ctrlProps/ctrlProp103.xml><?xml version="1.0" encoding="utf-8"?>
<formControlPr xmlns="http://schemas.microsoft.com/office/spreadsheetml/2009/9/main" objectType="CheckBox" fmlaLink="$P$141" lockText="1" noThreeD="1"/>
</file>

<file path=xl/ctrlProps/ctrlProp104.xml><?xml version="1.0" encoding="utf-8"?>
<formControlPr xmlns="http://schemas.microsoft.com/office/spreadsheetml/2009/9/main" objectType="CheckBox" fmlaLink="$P$142" lockText="1" noThreeD="1"/>
</file>

<file path=xl/ctrlProps/ctrlProp105.xml><?xml version="1.0" encoding="utf-8"?>
<formControlPr xmlns="http://schemas.microsoft.com/office/spreadsheetml/2009/9/main" objectType="GBox" noThreeD="1"/>
</file>

<file path=xl/ctrlProps/ctrlProp106.xml><?xml version="1.0" encoding="utf-8"?>
<formControlPr xmlns="http://schemas.microsoft.com/office/spreadsheetml/2009/9/main" objectType="Drop" dropStyle="combo" dx="22" fmlaLink="$P$158" fmlaRange="Options!$A$110:$A$114" noThreeD="1" sel="1" val="0"/>
</file>

<file path=xl/ctrlProps/ctrlProp107.xml><?xml version="1.0" encoding="utf-8"?>
<formControlPr xmlns="http://schemas.microsoft.com/office/spreadsheetml/2009/9/main" objectType="Label" lockText="1"/>
</file>

<file path=xl/ctrlProps/ctrlProp108.xml><?xml version="1.0" encoding="utf-8"?>
<formControlPr xmlns="http://schemas.microsoft.com/office/spreadsheetml/2009/9/main" objectType="GBox" noThreeD="1"/>
</file>

<file path=xl/ctrlProps/ctrlProp109.xml><?xml version="1.0" encoding="utf-8"?>
<formControlPr xmlns="http://schemas.microsoft.com/office/spreadsheetml/2009/9/main" objectType="Label" lockText="1"/>
</file>

<file path=xl/ctrlProps/ctrlProp110.xml><?xml version="1.0" encoding="utf-8"?>
<formControlPr xmlns="http://schemas.microsoft.com/office/spreadsheetml/2009/9/main" objectType="Label" lockText="1"/>
</file>

<file path=xl/ctrlProps/ctrlProp111.xml><?xml version="1.0" encoding="utf-8"?>
<formControlPr xmlns="http://schemas.microsoft.com/office/spreadsheetml/2009/9/main" objectType="Label" lockText="1"/>
</file>

<file path=xl/ctrlProps/ctrlProp112.xml><?xml version="1.0" encoding="utf-8"?>
<formControlPr xmlns="http://schemas.microsoft.com/office/spreadsheetml/2009/9/main" objectType="GBox" noThreeD="1"/>
</file>

<file path=xl/ctrlProps/ctrlProp113.xml><?xml version="1.0" encoding="utf-8"?>
<formControlPr xmlns="http://schemas.microsoft.com/office/spreadsheetml/2009/9/main" objectType="GBox" noThreeD="1"/>
</file>

<file path=xl/ctrlProps/ctrlProp114.xml><?xml version="1.0" encoding="utf-8"?>
<formControlPr xmlns="http://schemas.microsoft.com/office/spreadsheetml/2009/9/main" objectType="Drop" dropStyle="combo" dx="22" fmlaLink="$P$146" fmlaRange="Options!$A$129:$A$136" noThreeD="1" sel="1" val="0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GBox" noThreeD="1"/>
</file>

<file path=xl/ctrlProps/ctrlProp117.xml><?xml version="1.0" encoding="utf-8"?>
<formControlPr xmlns="http://schemas.microsoft.com/office/spreadsheetml/2009/9/main" objectType="GBox" noThreeD="1"/>
</file>

<file path=xl/ctrlProps/ctrlProp118.xml><?xml version="1.0" encoding="utf-8"?>
<formControlPr xmlns="http://schemas.microsoft.com/office/spreadsheetml/2009/9/main" objectType="GBox" noThreeD="1"/>
</file>

<file path=xl/ctrlProps/ctrlProp119.xml><?xml version="1.0" encoding="utf-8"?>
<formControlPr xmlns="http://schemas.microsoft.com/office/spreadsheetml/2009/9/main" objectType="GBox" noThreeD="1"/>
</file>

<file path=xl/ctrlProps/ctrlProp120.xml><?xml version="1.0" encoding="utf-8"?>
<formControlPr xmlns="http://schemas.microsoft.com/office/spreadsheetml/2009/9/main" objectType="Drop" dropLines="20" dropStyle="combo" dx="22" fmlaLink="$J$8" fmlaRange="Data!$D$2:$D$10000" noThreeD="1" sel="1" val="0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CheckBox" fmlaLink="$P$111" lockText="1" noThreeD="1"/>
</file>

<file path=xl/ctrlProps/ctrlProp123.xml><?xml version="1.0" encoding="utf-8"?>
<formControlPr xmlns="http://schemas.microsoft.com/office/spreadsheetml/2009/9/main" objectType="CheckBox" fmlaLink="$P$112" lockText="1" noThreeD="1"/>
</file>

<file path=xl/ctrlProps/ctrlProp124.xml><?xml version="1.0" encoding="utf-8"?>
<formControlPr xmlns="http://schemas.microsoft.com/office/spreadsheetml/2009/9/main" objectType="CheckBox" fmlaLink="$P$113" lockText="1" noThreeD="1"/>
</file>

<file path=xl/ctrlProps/ctrlProp125.xml><?xml version="1.0" encoding="utf-8"?>
<formControlPr xmlns="http://schemas.microsoft.com/office/spreadsheetml/2009/9/main" objectType="CheckBox" fmlaLink="$P$114" lockText="1" noThreeD="1"/>
</file>

<file path=xl/ctrlProps/ctrlProp126.xml><?xml version="1.0" encoding="utf-8"?>
<formControlPr xmlns="http://schemas.microsoft.com/office/spreadsheetml/2009/9/main" objectType="CheckBox" fmlaLink="$P$65" lockText="1" noThreeD="1"/>
</file>

<file path=xl/ctrlProps/ctrlProp127.xml><?xml version="1.0" encoding="utf-8"?>
<formControlPr xmlns="http://schemas.microsoft.com/office/spreadsheetml/2009/9/main" objectType="CheckBox" fmlaLink="$P$66" lockText="1" noThreeD="1"/>
</file>

<file path=xl/ctrlProps/ctrlProp128.xml><?xml version="1.0" encoding="utf-8"?>
<formControlPr xmlns="http://schemas.microsoft.com/office/spreadsheetml/2009/9/main" objectType="CheckBox" fmlaLink="$P$67" lockText="1" noThreeD="1"/>
</file>

<file path=xl/ctrlProps/ctrlProp129.xml><?xml version="1.0" encoding="utf-8"?>
<formControlPr xmlns="http://schemas.microsoft.com/office/spreadsheetml/2009/9/main" objectType="CheckBox" fmlaLink="$P$68" lockText="1" noThreeD="1"/>
</file>

<file path=xl/ctrlProps/ctrlProp130.xml><?xml version="1.0" encoding="utf-8"?>
<formControlPr xmlns="http://schemas.microsoft.com/office/spreadsheetml/2009/9/main" objectType="CheckBox" fmlaLink="$P$69" lockText="1" noThreeD="1"/>
</file>

<file path=xl/ctrlProps/ctrlProp131.xml><?xml version="1.0" encoding="utf-8"?>
<formControlPr xmlns="http://schemas.microsoft.com/office/spreadsheetml/2009/9/main" objectType="CheckBox" fmlaLink="$P$70" lockText="1" noThreeD="1"/>
</file>

<file path=xl/ctrlProps/ctrlProp132.xml><?xml version="1.0" encoding="utf-8"?>
<formControlPr xmlns="http://schemas.microsoft.com/office/spreadsheetml/2009/9/main" objectType="CheckBox" fmlaLink="$P$71" lockText="1" noThreeD="1"/>
</file>

<file path=xl/ctrlProps/ctrlProp133.xml><?xml version="1.0" encoding="utf-8"?>
<formControlPr xmlns="http://schemas.microsoft.com/office/spreadsheetml/2009/9/main" objectType="CheckBox" fmlaLink="$P$72" lockText="1" noThreeD="1"/>
</file>

<file path=xl/ctrlProps/ctrlProp134.xml><?xml version="1.0" encoding="utf-8"?>
<formControlPr xmlns="http://schemas.microsoft.com/office/spreadsheetml/2009/9/main" objectType="CheckBox" fmlaLink="$P$73" lockText="1" noThreeD="1"/>
</file>

<file path=xl/ctrlProps/ctrlProp135.xml><?xml version="1.0" encoding="utf-8"?>
<formControlPr xmlns="http://schemas.microsoft.com/office/spreadsheetml/2009/9/main" objectType="CheckBox" fmlaLink="$P$74" lockText="1" noThreeD="1"/>
</file>

<file path=xl/ctrlProps/ctrlProp136.xml><?xml version="1.0" encoding="utf-8"?>
<formControlPr xmlns="http://schemas.microsoft.com/office/spreadsheetml/2009/9/main" objectType="CheckBox" fmlaLink="$P$75" lockText="1" noThreeD="1"/>
</file>

<file path=xl/ctrlProps/ctrlProp137.xml><?xml version="1.0" encoding="utf-8"?>
<formControlPr xmlns="http://schemas.microsoft.com/office/spreadsheetml/2009/9/main" objectType="CheckBox" fmlaLink="$P$76" lockText="1" noThreeD="1"/>
</file>

<file path=xl/ctrlProps/ctrlProp138.xml><?xml version="1.0" encoding="utf-8"?>
<formControlPr xmlns="http://schemas.microsoft.com/office/spreadsheetml/2009/9/main" objectType="CheckBox" fmlaLink="$P$77" lockText="1" noThreeD="1"/>
</file>

<file path=xl/ctrlProps/ctrlProp139.xml><?xml version="1.0" encoding="utf-8"?>
<formControlPr xmlns="http://schemas.microsoft.com/office/spreadsheetml/2009/9/main" objectType="CheckBox" fmlaLink="$P$78" lockText="1" noThreeD="1"/>
</file>

<file path=xl/ctrlProps/ctrlProp140.xml><?xml version="1.0" encoding="utf-8"?>
<formControlPr xmlns="http://schemas.microsoft.com/office/spreadsheetml/2009/9/main" objectType="CheckBox" fmlaLink="$P$79" lockText="1" noThreeD="1"/>
</file>

<file path=xl/ctrlProps/ctrlProp141.xml><?xml version="1.0" encoding="utf-8"?>
<formControlPr xmlns="http://schemas.microsoft.com/office/spreadsheetml/2009/9/main" objectType="CheckBox" fmlaLink="$P$80" lockText="1" noThreeD="1"/>
</file>

<file path=xl/ctrlProps/ctrlProp142.xml><?xml version="1.0" encoding="utf-8"?>
<formControlPr xmlns="http://schemas.microsoft.com/office/spreadsheetml/2009/9/main" objectType="CheckBox" fmlaLink="$P$81" lockText="1" noThreeD="1"/>
</file>

<file path=xl/ctrlProps/ctrlProp143.xml><?xml version="1.0" encoding="utf-8"?>
<formControlPr xmlns="http://schemas.microsoft.com/office/spreadsheetml/2009/9/main" objectType="CheckBox" fmlaLink="$P$82" lockText="1" noThreeD="1"/>
</file>

<file path=xl/ctrlProps/ctrlProp144.xml><?xml version="1.0" encoding="utf-8"?>
<formControlPr xmlns="http://schemas.microsoft.com/office/spreadsheetml/2009/9/main" objectType="CheckBox" fmlaLink="$P$83" lockText="1" noThreeD="1"/>
</file>

<file path=xl/ctrlProps/ctrlProp145.xml><?xml version="1.0" encoding="utf-8"?>
<formControlPr xmlns="http://schemas.microsoft.com/office/spreadsheetml/2009/9/main" objectType="CheckBox" fmlaLink="$P$84" lockText="1" noThreeD="1"/>
</file>

<file path=xl/ctrlProps/ctrlProp146.xml><?xml version="1.0" encoding="utf-8"?>
<formControlPr xmlns="http://schemas.microsoft.com/office/spreadsheetml/2009/9/main" objectType="CheckBox" fmlaLink="$P$85" lockText="1" noThreeD="1"/>
</file>

<file path=xl/ctrlProps/ctrlProp147.xml><?xml version="1.0" encoding="utf-8"?>
<formControlPr xmlns="http://schemas.microsoft.com/office/spreadsheetml/2009/9/main" objectType="CheckBox" fmlaLink="$P$86" lockText="1" noThreeD="1"/>
</file>

<file path=xl/ctrlProps/ctrlProp148.xml><?xml version="1.0" encoding="utf-8"?>
<formControlPr xmlns="http://schemas.microsoft.com/office/spreadsheetml/2009/9/main" objectType="CheckBox" fmlaLink="$P$87" lockText="1" noThreeD="1"/>
</file>

<file path=xl/ctrlProps/ctrlProp149.xml><?xml version="1.0" encoding="utf-8"?>
<formControlPr xmlns="http://schemas.microsoft.com/office/spreadsheetml/2009/9/main" objectType="CheckBox" fmlaLink="$P$88" lockText="1" noThreeD="1"/>
</file>

<file path=xl/ctrlProps/ctrlProp150.xml><?xml version="1.0" encoding="utf-8"?>
<formControlPr xmlns="http://schemas.microsoft.com/office/spreadsheetml/2009/9/main" objectType="CheckBox" fmlaLink="$P$89" lockText="1" noThreeD="1"/>
</file>

<file path=xl/ctrlProps/ctrlProp151.xml><?xml version="1.0" encoding="utf-8"?>
<formControlPr xmlns="http://schemas.microsoft.com/office/spreadsheetml/2009/9/main" objectType="CheckBox" fmlaLink="$P$90" lockText="1" noThreeD="1"/>
</file>

<file path=xl/ctrlProps/ctrlProp152.xml><?xml version="1.0" encoding="utf-8"?>
<formControlPr xmlns="http://schemas.microsoft.com/office/spreadsheetml/2009/9/main" objectType="CheckBox" fmlaLink="$P$91" lockText="1" noThreeD="1"/>
</file>

<file path=xl/ctrlProps/ctrlProp153.xml><?xml version="1.0" encoding="utf-8"?>
<formControlPr xmlns="http://schemas.microsoft.com/office/spreadsheetml/2009/9/main" objectType="GBox" noThreeD="1"/>
</file>

<file path=xl/ctrlProps/ctrlProp154.xml><?xml version="1.0" encoding="utf-8"?>
<formControlPr xmlns="http://schemas.microsoft.com/office/spreadsheetml/2009/9/main" objectType="Label" lockText="1"/>
</file>

<file path=xl/ctrlProps/ctrlProp155.xml><?xml version="1.0" encoding="utf-8"?>
<formControlPr xmlns="http://schemas.microsoft.com/office/spreadsheetml/2009/9/main" objectType="Label" lockText="1"/>
</file>

<file path=xl/ctrlProps/ctrlProp156.xml><?xml version="1.0" encoding="utf-8"?>
<formControlPr xmlns="http://schemas.microsoft.com/office/spreadsheetml/2009/9/main" objectType="Label" lockText="1"/>
</file>

<file path=xl/ctrlProps/ctrlProp157.xml><?xml version="1.0" encoding="utf-8"?>
<formControlPr xmlns="http://schemas.microsoft.com/office/spreadsheetml/2009/9/main" objectType="Label" lockText="1"/>
</file>

<file path=xl/ctrlProps/ctrlProp158.xml><?xml version="1.0" encoding="utf-8"?>
<formControlPr xmlns="http://schemas.microsoft.com/office/spreadsheetml/2009/9/main" objectType="Label" lockText="1"/>
</file>

<file path=xl/ctrlProps/ctrlProp159.xml><?xml version="1.0" encoding="utf-8"?>
<formControlPr xmlns="http://schemas.microsoft.com/office/spreadsheetml/2009/9/main" objectType="Label" lockText="1"/>
</file>

<file path=xl/ctrlProps/ctrlProp160.xml><?xml version="1.0" encoding="utf-8"?>
<formControlPr xmlns="http://schemas.microsoft.com/office/spreadsheetml/2009/9/main" objectType="Label" lockText="1"/>
</file>

<file path=xl/ctrlProps/ctrlProp161.xml><?xml version="1.0" encoding="utf-8"?>
<formControlPr xmlns="http://schemas.microsoft.com/office/spreadsheetml/2009/9/main" objectType="GBox" noThreeD="1"/>
</file>

<file path=xl/ctrlProps/ctrlProp162.xml><?xml version="1.0" encoding="utf-8"?>
<formControlPr xmlns="http://schemas.microsoft.com/office/spreadsheetml/2009/9/main" objectType="CheckBox" fmlaLink="$P$55" lockText="1" noThreeD="1"/>
</file>

<file path=xl/ctrlProps/ctrlProp163.xml><?xml version="1.0" encoding="utf-8"?>
<formControlPr xmlns="http://schemas.microsoft.com/office/spreadsheetml/2009/9/main" objectType="CheckBox" fmlaLink="$P$56" lockText="1" noThreeD="1"/>
</file>

<file path=xl/ctrlProps/ctrlProp164.xml><?xml version="1.0" encoding="utf-8"?>
<formControlPr xmlns="http://schemas.microsoft.com/office/spreadsheetml/2009/9/main" objectType="GBox" noThreeD="1"/>
</file>

<file path=xl/ctrlProps/ctrlProp165.xml><?xml version="1.0" encoding="utf-8"?>
<formControlPr xmlns="http://schemas.microsoft.com/office/spreadsheetml/2009/9/main" objectType="GBox" noThreeD="1"/>
</file>

<file path=xl/ctrlProps/ctrlProp166.xml><?xml version="1.0" encoding="utf-8"?>
<formControlPr xmlns="http://schemas.microsoft.com/office/spreadsheetml/2009/9/main" objectType="GBox" noThreeD="1"/>
</file>

<file path=xl/ctrlProps/ctrlProp167.xml><?xml version="1.0" encoding="utf-8"?>
<formControlPr xmlns="http://schemas.microsoft.com/office/spreadsheetml/2009/9/main" objectType="GBox" noThreeD="1"/>
</file>

<file path=xl/ctrlProps/ctrlProp168.xml><?xml version="1.0" encoding="utf-8"?>
<formControlPr xmlns="http://schemas.microsoft.com/office/spreadsheetml/2009/9/main" objectType="Drop" dropStyle="combo" dx="22" fmlaLink="$P$93" fmlaRange="Options!$A$41:$A$47" noThreeD="1" sel="1" val="0"/>
</file>

<file path=xl/ctrlProps/ctrlProp169.xml><?xml version="1.0" encoding="utf-8"?>
<formControlPr xmlns="http://schemas.microsoft.com/office/spreadsheetml/2009/9/main" objectType="Drop" dropStyle="combo" dx="22" fmlaLink="$P$95" fmlaRange="Options!$A$129:$A$136" noThreeD="1" sel="1" val="0"/>
</file>

<file path=xl/ctrlProps/ctrlProp170.xml><?xml version="1.0" encoding="utf-8"?>
<formControlPr xmlns="http://schemas.microsoft.com/office/spreadsheetml/2009/9/main" objectType="GBox" noThreeD="1"/>
</file>

<file path=xl/ctrlProps/ctrlProp171.xml><?xml version="1.0" encoding="utf-8"?>
<formControlPr xmlns="http://schemas.microsoft.com/office/spreadsheetml/2009/9/main" objectType="Label" lockText="1"/>
</file>

<file path=xl/ctrlProps/ctrlProp172.xml><?xml version="1.0" encoding="utf-8"?>
<formControlPr xmlns="http://schemas.microsoft.com/office/spreadsheetml/2009/9/main" objectType="Label" lockText="1"/>
</file>

<file path=xl/ctrlProps/ctrlProp173.xml><?xml version="1.0" encoding="utf-8"?>
<formControlPr xmlns="http://schemas.microsoft.com/office/spreadsheetml/2009/9/main" objectType="Label" lockText="1"/>
</file>

<file path=xl/ctrlProps/ctrlProp174.xml><?xml version="1.0" encoding="utf-8"?>
<formControlPr xmlns="http://schemas.microsoft.com/office/spreadsheetml/2009/9/main" objectType="Drop" dropStyle="combo" dx="22" fmlaLink="$P$97" fmlaRange="Options!$A$60:$A$64" noThreeD="1" sel="1" val="0"/>
</file>

<file path=xl/ctrlProps/ctrlProp175.xml><?xml version="1.0" encoding="utf-8"?>
<formControlPr xmlns="http://schemas.microsoft.com/office/spreadsheetml/2009/9/main" objectType="Drop" dropStyle="combo" dx="22" fmlaLink="$P$99" fmlaRange="Options!$A$66:$A$71" noThreeD="1" sel="1" val="0"/>
</file>

<file path=xl/ctrlProps/ctrlProp176.xml><?xml version="1.0" encoding="utf-8"?>
<formControlPr xmlns="http://schemas.microsoft.com/office/spreadsheetml/2009/9/main" objectType="Drop" dropStyle="combo" dx="22" fmlaLink="$P$101" fmlaRange="Options!$A$73:$A$79" noThreeD="1" sel="1" val="0"/>
</file>

<file path=xl/ctrlProps/ctrlProp177.xml><?xml version="1.0" encoding="utf-8"?>
<formControlPr xmlns="http://schemas.microsoft.com/office/spreadsheetml/2009/9/main" objectType="Label" lockText="1"/>
</file>

<file path=xl/ctrlProps/ctrlProp178.xml><?xml version="1.0" encoding="utf-8"?>
<formControlPr xmlns="http://schemas.microsoft.com/office/spreadsheetml/2009/9/main" objectType="GBox" noThreeD="1"/>
</file>

<file path=xl/ctrlProps/ctrlProp179.xml><?xml version="1.0" encoding="utf-8"?>
<formControlPr xmlns="http://schemas.microsoft.com/office/spreadsheetml/2009/9/main" objectType="GBox" noThreeD="1"/>
</file>

<file path=xl/ctrlProps/ctrlProp180.xml><?xml version="1.0" encoding="utf-8"?>
<formControlPr xmlns="http://schemas.microsoft.com/office/spreadsheetml/2009/9/main" objectType="Label" lockText="1"/>
</file>

<file path=xl/ctrlProps/ctrlProp181.xml><?xml version="1.0" encoding="utf-8"?>
<formControlPr xmlns="http://schemas.microsoft.com/office/spreadsheetml/2009/9/main" objectType="Label" lockText="1"/>
</file>

<file path=xl/ctrlProps/ctrlProp182.xml><?xml version="1.0" encoding="utf-8"?>
<formControlPr xmlns="http://schemas.microsoft.com/office/spreadsheetml/2009/9/main" objectType="Label" lockText="1"/>
</file>

<file path=xl/ctrlProps/ctrlProp183.xml><?xml version="1.0" encoding="utf-8"?>
<formControlPr xmlns="http://schemas.microsoft.com/office/spreadsheetml/2009/9/main" objectType="Drop" dropStyle="combo" dx="22" fmlaLink="$P$105" fmlaRange="Options!$A$104:$A$108" noThreeD="1" sel="1" val="0"/>
</file>

<file path=xl/ctrlProps/ctrlProp184.xml><?xml version="1.0" encoding="utf-8"?>
<formControlPr xmlns="http://schemas.microsoft.com/office/spreadsheetml/2009/9/main" objectType="Drop" dropStyle="combo" dx="22" fmlaLink="$P$107" fmlaRange="Options!$A$116:$A$119" noThreeD="1" sel="1" val="0"/>
</file>

<file path=xl/ctrlProps/ctrlProp185.xml><?xml version="1.0" encoding="utf-8"?>
<formControlPr xmlns="http://schemas.microsoft.com/office/spreadsheetml/2009/9/main" objectType="GBox" noThreeD="1"/>
</file>

<file path=xl/ctrlProps/ctrlProp186.xml><?xml version="1.0" encoding="utf-8"?>
<formControlPr xmlns="http://schemas.microsoft.com/office/spreadsheetml/2009/9/main" objectType="Drop" dropStyle="combo" dx="22" fmlaLink="$P$107" fmlaRange="Options!$A$110:$A$114" noThreeD="1" sel="1" val="0"/>
</file>

<file path=xl/ctrlProps/ctrlProp187.xml><?xml version="1.0" encoding="utf-8"?>
<formControlPr xmlns="http://schemas.microsoft.com/office/spreadsheetml/2009/9/main" objectType="Label" lockText="1"/>
</file>

<file path=xl/ctrlProps/ctrlProp188.xml><?xml version="1.0" encoding="utf-8"?>
<formControlPr xmlns="http://schemas.microsoft.com/office/spreadsheetml/2009/9/main" objectType="GBox" noThreeD="1"/>
</file>

<file path=xl/ctrlProps/ctrlProp189.xml><?xml version="1.0" encoding="utf-8"?>
<formControlPr xmlns="http://schemas.microsoft.com/office/spreadsheetml/2009/9/main" objectType="G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7173" name="Group Box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</xdr:row>
          <xdr:rowOff>0</xdr:rowOff>
        </xdr:from>
        <xdr:to>
          <xdr:col>3</xdr:col>
          <xdr:colOff>0</xdr:colOff>
          <xdr:row>5</xdr:row>
          <xdr:rowOff>85725</xdr:rowOff>
        </xdr:to>
        <xdr:sp macro="" textlink="">
          <xdr:nvSpPr>
            <xdr:cNvPr id="7174" name="Option 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Male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4</xdr:col>
          <xdr:colOff>485775</xdr:colOff>
          <xdr:row>5</xdr:row>
          <xdr:rowOff>85725</xdr:rowOff>
        </xdr:to>
        <xdr:sp macro="" textlink="">
          <xdr:nvSpPr>
            <xdr:cNvPr id="7177" name="Option 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Female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7178" name="Group Box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7180" name="Group Box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Ethnicity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371475</xdr:colOff>
          <xdr:row>12</xdr:row>
          <xdr:rowOff>0</xdr:rowOff>
        </xdr:from>
        <xdr:to>
          <xdr:col>5</xdr:col>
          <xdr:colOff>371475</xdr:colOff>
          <xdr:row>13</xdr:row>
          <xdr:rowOff>0</xdr:rowOff>
        </xdr:to>
        <xdr:sp macro="" textlink="">
          <xdr:nvSpPr>
            <xdr:cNvPr id="7181" name="Drop Dow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7182" name="Group Box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0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Religious Affiliation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409575</xdr:colOff>
          <xdr:row>15</xdr:row>
          <xdr:rowOff>190500</xdr:rowOff>
        </xdr:from>
        <xdr:to>
          <xdr:col>5</xdr:col>
          <xdr:colOff>200025</xdr:colOff>
          <xdr:row>16</xdr:row>
          <xdr:rowOff>190500</xdr:rowOff>
        </xdr:to>
        <xdr:sp macro="" textlink="">
          <xdr:nvSpPr>
            <xdr:cNvPr id="7183" name="Drop Down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0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47</xdr:row>
          <xdr:rowOff>0</xdr:rowOff>
        </xdr:from>
        <xdr:to>
          <xdr:col>6</xdr:col>
          <xdr:colOff>0</xdr:colOff>
          <xdr:row>50</xdr:row>
          <xdr:rowOff>0</xdr:rowOff>
        </xdr:to>
        <xdr:sp macro="" textlink="">
          <xdr:nvSpPr>
            <xdr:cNvPr id="7185" name="Group Box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0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Mobility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219075</xdr:colOff>
          <xdr:row>48</xdr:row>
          <xdr:rowOff>0</xdr:rowOff>
        </xdr:from>
        <xdr:to>
          <xdr:col>5</xdr:col>
          <xdr:colOff>0</xdr:colOff>
          <xdr:row>49</xdr:row>
          <xdr:rowOff>0</xdr:rowOff>
        </xdr:to>
        <xdr:sp macro="" textlink="">
          <xdr:nvSpPr>
            <xdr:cNvPr id="7187" name="Drop Down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0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0</xdr:rowOff>
        </xdr:from>
        <xdr:to>
          <xdr:col>8</xdr:col>
          <xdr:colOff>0</xdr:colOff>
          <xdr:row>40</xdr:row>
          <xdr:rowOff>0</xdr:rowOff>
        </xdr:to>
        <xdr:sp macro="" textlink="">
          <xdr:nvSpPr>
            <xdr:cNvPr id="7188" name="Group Box 20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0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Notable Lab Results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55</xdr:row>
          <xdr:rowOff>0</xdr:rowOff>
        </xdr:from>
        <xdr:to>
          <xdr:col>7</xdr:col>
          <xdr:colOff>0</xdr:colOff>
          <xdr:row>65</xdr:row>
          <xdr:rowOff>0</xdr:rowOff>
        </xdr:to>
        <xdr:sp macro="" textlink="">
          <xdr:nvSpPr>
            <xdr:cNvPr id="7190" name="Group Box 22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0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Glasgow Coma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0</xdr:rowOff>
        </xdr:from>
        <xdr:to>
          <xdr:col>3</xdr:col>
          <xdr:colOff>400050</xdr:colOff>
          <xdr:row>57</xdr:row>
          <xdr:rowOff>0</xdr:rowOff>
        </xdr:to>
        <xdr:sp macro="" textlink="">
          <xdr:nvSpPr>
            <xdr:cNvPr id="7191" name="Label 23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0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Eye Opening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58</xdr:row>
          <xdr:rowOff>0</xdr:rowOff>
        </xdr:from>
        <xdr:to>
          <xdr:col>3</xdr:col>
          <xdr:colOff>0</xdr:colOff>
          <xdr:row>59</xdr:row>
          <xdr:rowOff>0</xdr:rowOff>
        </xdr:to>
        <xdr:sp macro="" textlink="">
          <xdr:nvSpPr>
            <xdr:cNvPr id="7192" name="Label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0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Verbal Response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60</xdr:row>
          <xdr:rowOff>0</xdr:rowOff>
        </xdr:from>
        <xdr:to>
          <xdr:col>3</xdr:col>
          <xdr:colOff>400050</xdr:colOff>
          <xdr:row>61</xdr:row>
          <xdr:rowOff>0</xdr:rowOff>
        </xdr:to>
        <xdr:sp macro="" textlink="">
          <xdr:nvSpPr>
            <xdr:cNvPr id="7193" name="Label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0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Motor Response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56</xdr:row>
          <xdr:rowOff>0</xdr:rowOff>
        </xdr:from>
        <xdr:to>
          <xdr:col>6</xdr:col>
          <xdr:colOff>0</xdr:colOff>
          <xdr:row>57</xdr:row>
          <xdr:rowOff>0</xdr:rowOff>
        </xdr:to>
        <xdr:sp macro="" textlink="">
          <xdr:nvSpPr>
            <xdr:cNvPr id="7194" name="Drop Down 26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0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57</xdr:row>
          <xdr:rowOff>180975</xdr:rowOff>
        </xdr:from>
        <xdr:to>
          <xdr:col>6</xdr:col>
          <xdr:colOff>0</xdr:colOff>
          <xdr:row>59</xdr:row>
          <xdr:rowOff>0</xdr:rowOff>
        </xdr:to>
        <xdr:sp macro="" textlink="">
          <xdr:nvSpPr>
            <xdr:cNvPr id="7195" name="Drop Down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0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59</xdr:row>
          <xdr:rowOff>180975</xdr:rowOff>
        </xdr:from>
        <xdr:to>
          <xdr:col>6</xdr:col>
          <xdr:colOff>0</xdr:colOff>
          <xdr:row>61</xdr:row>
          <xdr:rowOff>0</xdr:rowOff>
        </xdr:to>
        <xdr:sp macro="" textlink="">
          <xdr:nvSpPr>
            <xdr:cNvPr id="7196" name="Drop Down 28" hidden="1">
              <a:extLst>
                <a:ext uri="{63B3BB69-23CF-44E3-9099-C40C66FF867C}">
                  <a14:compatExt spid="_x0000_s7196"/>
                </a:ext>
                <a:ext uri="{FF2B5EF4-FFF2-40B4-BE49-F238E27FC236}">
                  <a16:creationId xmlns:a16="http://schemas.microsoft.com/office/drawing/2014/main" id="{00000000-0008-0000-0000-00001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63</xdr:row>
          <xdr:rowOff>0</xdr:rowOff>
        </xdr:from>
        <xdr:to>
          <xdr:col>3</xdr:col>
          <xdr:colOff>400050</xdr:colOff>
          <xdr:row>64</xdr:row>
          <xdr:rowOff>0</xdr:rowOff>
        </xdr:to>
        <xdr:sp macro="" textlink="">
          <xdr:nvSpPr>
            <xdr:cNvPr id="7197" name="Label 29" hidden="1">
              <a:extLst>
                <a:ext uri="{63B3BB69-23CF-44E3-9099-C40C66FF867C}">
                  <a14:compatExt spid="_x0000_s7197"/>
                </a:ext>
                <a:ext uri="{FF2B5EF4-FFF2-40B4-BE49-F238E27FC236}">
                  <a16:creationId xmlns:a16="http://schemas.microsoft.com/office/drawing/2014/main" id="{00000000-0008-0000-0000-00001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Score: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41</xdr:row>
          <xdr:rowOff>0</xdr:rowOff>
        </xdr:from>
        <xdr:to>
          <xdr:col>8</xdr:col>
          <xdr:colOff>0</xdr:colOff>
          <xdr:row>46</xdr:row>
          <xdr:rowOff>0</xdr:rowOff>
        </xdr:to>
        <xdr:sp macro="" textlink="">
          <xdr:nvSpPr>
            <xdr:cNvPr id="7198" name="Group Box 30" hidden="1">
              <a:extLst>
                <a:ext uri="{63B3BB69-23CF-44E3-9099-C40C66FF867C}">
                  <a14:compatExt spid="_x0000_s7198"/>
                </a:ext>
                <a:ext uri="{FF2B5EF4-FFF2-40B4-BE49-F238E27FC236}">
                  <a16:creationId xmlns:a16="http://schemas.microsoft.com/office/drawing/2014/main" id="{00000000-0008-0000-0000-00001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Diagnoses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66</xdr:row>
          <xdr:rowOff>0</xdr:rowOff>
        </xdr:from>
        <xdr:to>
          <xdr:col>9</xdr:col>
          <xdr:colOff>0</xdr:colOff>
          <xdr:row>72</xdr:row>
          <xdr:rowOff>180975</xdr:rowOff>
        </xdr:to>
        <xdr:sp macro="" textlink="">
          <xdr:nvSpPr>
            <xdr:cNvPr id="7199" name="Group Box 31" hidden="1">
              <a:extLst>
                <a:ext uri="{63B3BB69-23CF-44E3-9099-C40C66FF867C}">
                  <a14:compatExt spid="_x0000_s7199"/>
                </a:ext>
                <a:ext uri="{FF2B5EF4-FFF2-40B4-BE49-F238E27FC236}">
                  <a16:creationId xmlns:a16="http://schemas.microsoft.com/office/drawing/2014/main" id="{00000000-0008-0000-0000-00001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Memory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67</xdr:row>
          <xdr:rowOff>0</xdr:rowOff>
        </xdr:from>
        <xdr:to>
          <xdr:col>3</xdr:col>
          <xdr:colOff>400050</xdr:colOff>
          <xdr:row>68</xdr:row>
          <xdr:rowOff>0</xdr:rowOff>
        </xdr:to>
        <xdr:sp macro="" textlink="">
          <xdr:nvSpPr>
            <xdr:cNvPr id="7200" name="Label 32" hidden="1">
              <a:extLst>
                <a:ext uri="{63B3BB69-23CF-44E3-9099-C40C66FF867C}">
                  <a14:compatExt spid="_x0000_s7200"/>
                </a:ext>
                <a:ext uri="{FF2B5EF4-FFF2-40B4-BE49-F238E27FC236}">
                  <a16:creationId xmlns:a16="http://schemas.microsoft.com/office/drawing/2014/main" id="{00000000-0008-0000-0000-00002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Long Term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69</xdr:row>
          <xdr:rowOff>9525</xdr:rowOff>
        </xdr:from>
        <xdr:to>
          <xdr:col>3</xdr:col>
          <xdr:colOff>0</xdr:colOff>
          <xdr:row>70</xdr:row>
          <xdr:rowOff>9525</xdr:rowOff>
        </xdr:to>
        <xdr:sp macro="" textlink="">
          <xdr:nvSpPr>
            <xdr:cNvPr id="7201" name="Label 33" hidden="1">
              <a:extLst>
                <a:ext uri="{63B3BB69-23CF-44E3-9099-C40C66FF867C}">
                  <a14:compatExt spid="_x0000_s7201"/>
                </a:ext>
                <a:ext uri="{FF2B5EF4-FFF2-40B4-BE49-F238E27FC236}">
                  <a16:creationId xmlns:a16="http://schemas.microsoft.com/office/drawing/2014/main" id="{00000000-0008-0000-0000-00002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Short Term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71</xdr:row>
          <xdr:rowOff>0</xdr:rowOff>
        </xdr:from>
        <xdr:to>
          <xdr:col>3</xdr:col>
          <xdr:colOff>400050</xdr:colOff>
          <xdr:row>72</xdr:row>
          <xdr:rowOff>0</xdr:rowOff>
        </xdr:to>
        <xdr:sp macro="" textlink="">
          <xdr:nvSpPr>
            <xdr:cNvPr id="7202" name="Label 34" hidden="1">
              <a:extLst>
                <a:ext uri="{63B3BB69-23CF-44E3-9099-C40C66FF867C}">
                  <a14:compatExt spid="_x0000_s7202"/>
                </a:ext>
                <a:ext uri="{FF2B5EF4-FFF2-40B4-BE49-F238E27FC236}">
                  <a16:creationId xmlns:a16="http://schemas.microsoft.com/office/drawing/2014/main" id="{00000000-0008-0000-0000-00002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Recall Speed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67</xdr:row>
          <xdr:rowOff>0</xdr:rowOff>
        </xdr:from>
        <xdr:to>
          <xdr:col>8</xdr:col>
          <xdr:colOff>0</xdr:colOff>
          <xdr:row>68</xdr:row>
          <xdr:rowOff>0</xdr:rowOff>
        </xdr:to>
        <xdr:sp macro="" textlink="">
          <xdr:nvSpPr>
            <xdr:cNvPr id="7203" name="Drop Down 35" hidden="1">
              <a:extLst>
                <a:ext uri="{63B3BB69-23CF-44E3-9099-C40C66FF867C}">
                  <a14:compatExt spid="_x0000_s7203"/>
                </a:ext>
                <a:ext uri="{FF2B5EF4-FFF2-40B4-BE49-F238E27FC236}">
                  <a16:creationId xmlns:a16="http://schemas.microsoft.com/office/drawing/2014/main" id="{00000000-0008-0000-0000-00002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68</xdr:row>
          <xdr:rowOff>180975</xdr:rowOff>
        </xdr:from>
        <xdr:to>
          <xdr:col>8</xdr:col>
          <xdr:colOff>0</xdr:colOff>
          <xdr:row>70</xdr:row>
          <xdr:rowOff>0</xdr:rowOff>
        </xdr:to>
        <xdr:sp macro="" textlink="">
          <xdr:nvSpPr>
            <xdr:cNvPr id="7204" name="Drop Down 36" hidden="1">
              <a:extLst>
                <a:ext uri="{63B3BB69-23CF-44E3-9099-C40C66FF867C}">
                  <a14:compatExt spid="_x0000_s7204"/>
                </a:ext>
                <a:ext uri="{FF2B5EF4-FFF2-40B4-BE49-F238E27FC236}">
                  <a16:creationId xmlns:a16="http://schemas.microsoft.com/office/drawing/2014/main" id="{00000000-0008-0000-0000-00002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70</xdr:row>
          <xdr:rowOff>180975</xdr:rowOff>
        </xdr:from>
        <xdr:to>
          <xdr:col>8</xdr:col>
          <xdr:colOff>0</xdr:colOff>
          <xdr:row>72</xdr:row>
          <xdr:rowOff>0</xdr:rowOff>
        </xdr:to>
        <xdr:sp macro="" textlink="">
          <xdr:nvSpPr>
            <xdr:cNvPr id="7205" name="Drop Down 37" hidden="1">
              <a:extLst>
                <a:ext uri="{63B3BB69-23CF-44E3-9099-C40C66FF867C}">
                  <a14:compatExt spid="_x0000_s7205"/>
                </a:ext>
                <a:ext uri="{FF2B5EF4-FFF2-40B4-BE49-F238E27FC236}">
                  <a16:creationId xmlns:a16="http://schemas.microsoft.com/office/drawing/2014/main" id="{00000000-0008-0000-0000-00002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74</xdr:row>
          <xdr:rowOff>0</xdr:rowOff>
        </xdr:from>
        <xdr:to>
          <xdr:col>5</xdr:col>
          <xdr:colOff>0</xdr:colOff>
          <xdr:row>81</xdr:row>
          <xdr:rowOff>0</xdr:rowOff>
        </xdr:to>
        <xdr:sp macro="" textlink="">
          <xdr:nvSpPr>
            <xdr:cNvPr id="7206" name="Group Box 38" hidden="1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00000000-0008-0000-0000-00002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Orientation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0</xdr:rowOff>
        </xdr:from>
        <xdr:to>
          <xdr:col>3</xdr:col>
          <xdr:colOff>400050</xdr:colOff>
          <xdr:row>76</xdr:row>
          <xdr:rowOff>28575</xdr:rowOff>
        </xdr:to>
        <xdr:sp macro="" textlink="">
          <xdr:nvSpPr>
            <xdr:cNvPr id="7208" name="Check Box 40" hidden="1">
              <a:extLst>
                <a:ext uri="{63B3BB69-23CF-44E3-9099-C40C66FF867C}">
                  <a14:compatExt spid="_x0000_s7208"/>
                </a:ext>
                <a:ext uri="{FF2B5EF4-FFF2-40B4-BE49-F238E27FC236}">
                  <a16:creationId xmlns:a16="http://schemas.microsoft.com/office/drawing/2014/main" id="{00000000-0008-0000-0000-00002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Person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76</xdr:row>
          <xdr:rowOff>0</xdr:rowOff>
        </xdr:from>
        <xdr:to>
          <xdr:col>3</xdr:col>
          <xdr:colOff>200025</xdr:colOff>
          <xdr:row>77</xdr:row>
          <xdr:rowOff>28575</xdr:rowOff>
        </xdr:to>
        <xdr:sp macro="" textlink="">
          <xdr:nvSpPr>
            <xdr:cNvPr id="7209" name="Check Box 41" hidden="1">
              <a:extLst>
                <a:ext uri="{63B3BB69-23CF-44E3-9099-C40C66FF867C}">
                  <a14:compatExt spid="_x0000_s7209"/>
                </a:ext>
                <a:ext uri="{FF2B5EF4-FFF2-40B4-BE49-F238E27FC236}">
                  <a16:creationId xmlns:a16="http://schemas.microsoft.com/office/drawing/2014/main" id="{00000000-0008-0000-0000-00002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Place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77</xdr:row>
          <xdr:rowOff>0</xdr:rowOff>
        </xdr:from>
        <xdr:to>
          <xdr:col>3</xdr:col>
          <xdr:colOff>400050</xdr:colOff>
          <xdr:row>78</xdr:row>
          <xdr:rowOff>28575</xdr:rowOff>
        </xdr:to>
        <xdr:sp macro="" textlink="">
          <xdr:nvSpPr>
            <xdr:cNvPr id="7210" name="Check Box 42" hidden="1">
              <a:extLst>
                <a:ext uri="{63B3BB69-23CF-44E3-9099-C40C66FF867C}">
                  <a14:compatExt spid="_x0000_s7210"/>
                </a:ext>
                <a:ext uri="{FF2B5EF4-FFF2-40B4-BE49-F238E27FC236}">
                  <a16:creationId xmlns:a16="http://schemas.microsoft.com/office/drawing/2014/main" id="{00000000-0008-0000-0000-00002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78</xdr:row>
          <xdr:rowOff>0</xdr:rowOff>
        </xdr:from>
        <xdr:to>
          <xdr:col>3</xdr:col>
          <xdr:colOff>400050</xdr:colOff>
          <xdr:row>79</xdr:row>
          <xdr:rowOff>28575</xdr:rowOff>
        </xdr:to>
        <xdr:sp macro="" textlink="">
          <xdr:nvSpPr>
            <xdr:cNvPr id="7211" name="Check Box 43" hidden="1">
              <a:extLst>
                <a:ext uri="{63B3BB69-23CF-44E3-9099-C40C66FF867C}">
                  <a14:compatExt spid="_x0000_s7211"/>
                </a:ext>
                <a:ext uri="{FF2B5EF4-FFF2-40B4-BE49-F238E27FC236}">
                  <a16:creationId xmlns:a16="http://schemas.microsoft.com/office/drawing/2014/main" id="{00000000-0008-0000-0000-00002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Event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80</xdr:row>
          <xdr:rowOff>0</xdr:rowOff>
        </xdr:from>
        <xdr:to>
          <xdr:col>3</xdr:col>
          <xdr:colOff>0</xdr:colOff>
          <xdr:row>81</xdr:row>
          <xdr:rowOff>0</xdr:rowOff>
        </xdr:to>
        <xdr:sp macro="" textlink="">
          <xdr:nvSpPr>
            <xdr:cNvPr id="7213" name="Label 45" hidden="1">
              <a:extLst>
                <a:ext uri="{63B3BB69-23CF-44E3-9099-C40C66FF867C}">
                  <a14:compatExt spid="_x0000_s7213"/>
                </a:ext>
                <a:ext uri="{FF2B5EF4-FFF2-40B4-BE49-F238E27FC236}">
                  <a16:creationId xmlns:a16="http://schemas.microsoft.com/office/drawing/2014/main" id="{00000000-0008-0000-0000-00002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Score: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7214" name="Group Box 46" hidden="1">
              <a:extLst>
                <a:ext uri="{63B3BB69-23CF-44E3-9099-C40C66FF867C}">
                  <a14:compatExt spid="_x0000_s7214"/>
                </a:ext>
                <a:ext uri="{FF2B5EF4-FFF2-40B4-BE49-F238E27FC236}">
                  <a16:creationId xmlns:a16="http://schemas.microsoft.com/office/drawing/2014/main" id="{00000000-0008-0000-0000-00002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Symptoms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3</xdr:col>
          <xdr:colOff>581025</xdr:colOff>
          <xdr:row>24</xdr:row>
          <xdr:rowOff>28575</xdr:rowOff>
        </xdr:to>
        <xdr:sp macro="" textlink="">
          <xdr:nvSpPr>
            <xdr:cNvPr id="7216" name="Check Box 48" hidden="1">
              <a:extLst>
                <a:ext uri="{63B3BB69-23CF-44E3-9099-C40C66FF867C}">
                  <a14:compatExt spid="_x0000_s7216"/>
                </a:ext>
                <a:ext uri="{FF2B5EF4-FFF2-40B4-BE49-F238E27FC236}">
                  <a16:creationId xmlns:a16="http://schemas.microsoft.com/office/drawing/2014/main" id="{00000000-0008-0000-0000-00003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Pain - Generalized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3</xdr:col>
          <xdr:colOff>581025</xdr:colOff>
          <xdr:row>25</xdr:row>
          <xdr:rowOff>28575</xdr:rowOff>
        </xdr:to>
        <xdr:sp macro="" textlink="">
          <xdr:nvSpPr>
            <xdr:cNvPr id="7217" name="Check Box 49" hidden="1">
              <a:extLst>
                <a:ext uri="{63B3BB69-23CF-44E3-9099-C40C66FF867C}">
                  <a14:compatExt spid="_x0000_s7217"/>
                </a:ext>
                <a:ext uri="{FF2B5EF4-FFF2-40B4-BE49-F238E27FC236}">
                  <a16:creationId xmlns:a16="http://schemas.microsoft.com/office/drawing/2014/main" id="{00000000-0008-0000-0000-00003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Pain - Localized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180975</xdr:rowOff>
        </xdr:from>
        <xdr:to>
          <xdr:col>3</xdr:col>
          <xdr:colOff>581025</xdr:colOff>
          <xdr:row>26</xdr:row>
          <xdr:rowOff>19050</xdr:rowOff>
        </xdr:to>
        <xdr:sp macro="" textlink="">
          <xdr:nvSpPr>
            <xdr:cNvPr id="7218" name="Check Box 50" hidden="1">
              <a:extLst>
                <a:ext uri="{63B3BB69-23CF-44E3-9099-C40C66FF867C}">
                  <a14:compatExt spid="_x0000_s7218"/>
                </a:ext>
                <a:ext uri="{FF2B5EF4-FFF2-40B4-BE49-F238E27FC236}">
                  <a16:creationId xmlns:a16="http://schemas.microsoft.com/office/drawing/2014/main" id="{00000000-0008-0000-0000-00003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Incontinence of 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180975</xdr:rowOff>
        </xdr:from>
        <xdr:to>
          <xdr:col>3</xdr:col>
          <xdr:colOff>581025</xdr:colOff>
          <xdr:row>27</xdr:row>
          <xdr:rowOff>19050</xdr:rowOff>
        </xdr:to>
        <xdr:sp macro="" textlink="">
          <xdr:nvSpPr>
            <xdr:cNvPr id="7219" name="Check Box 51" hidden="1">
              <a:extLst>
                <a:ext uri="{63B3BB69-23CF-44E3-9099-C40C66FF867C}">
                  <a14:compatExt spid="_x0000_s7219"/>
                </a:ext>
                <a:ext uri="{FF2B5EF4-FFF2-40B4-BE49-F238E27FC236}">
                  <a16:creationId xmlns:a16="http://schemas.microsoft.com/office/drawing/2014/main" id="{00000000-0008-0000-0000-00003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Incontinence of Bowels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180975</xdr:rowOff>
        </xdr:from>
        <xdr:to>
          <xdr:col>3</xdr:col>
          <xdr:colOff>581025</xdr:colOff>
          <xdr:row>28</xdr:row>
          <xdr:rowOff>19050</xdr:rowOff>
        </xdr:to>
        <xdr:sp macro="" textlink="">
          <xdr:nvSpPr>
            <xdr:cNvPr id="7220" name="Check Box 52" hidden="1">
              <a:extLst>
                <a:ext uri="{63B3BB69-23CF-44E3-9099-C40C66FF867C}">
                  <a14:compatExt spid="_x0000_s7220"/>
                </a:ext>
                <a:ext uri="{FF2B5EF4-FFF2-40B4-BE49-F238E27FC236}">
                  <a16:creationId xmlns:a16="http://schemas.microsoft.com/office/drawing/2014/main" id="{00000000-0008-0000-0000-00003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Urinary Retention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171450</xdr:rowOff>
        </xdr:from>
        <xdr:to>
          <xdr:col>3</xdr:col>
          <xdr:colOff>581025</xdr:colOff>
          <xdr:row>29</xdr:row>
          <xdr:rowOff>9525</xdr:rowOff>
        </xdr:to>
        <xdr:sp macro="" textlink="">
          <xdr:nvSpPr>
            <xdr:cNvPr id="7221" name="Check Box 53" hidden="1">
              <a:extLst>
                <a:ext uri="{63B3BB69-23CF-44E3-9099-C40C66FF867C}">
                  <a14:compatExt spid="_x0000_s7221"/>
                </a:ext>
                <a:ext uri="{FF2B5EF4-FFF2-40B4-BE49-F238E27FC236}">
                  <a16:creationId xmlns:a16="http://schemas.microsoft.com/office/drawing/2014/main" id="{00000000-0008-0000-0000-00003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Nausea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28</xdr:row>
          <xdr:rowOff>171450</xdr:rowOff>
        </xdr:from>
        <xdr:to>
          <xdr:col>3</xdr:col>
          <xdr:colOff>581025</xdr:colOff>
          <xdr:row>30</xdr:row>
          <xdr:rowOff>9525</xdr:rowOff>
        </xdr:to>
        <xdr:sp macro="" textlink="">
          <xdr:nvSpPr>
            <xdr:cNvPr id="7222" name="Check Box 54" hidden="1">
              <a:extLst>
                <a:ext uri="{63B3BB69-23CF-44E3-9099-C40C66FF867C}">
                  <a14:compatExt spid="_x0000_s7222"/>
                </a:ext>
                <a:ext uri="{FF2B5EF4-FFF2-40B4-BE49-F238E27FC236}">
                  <a16:creationId xmlns:a16="http://schemas.microsoft.com/office/drawing/2014/main" id="{00000000-0008-0000-0000-00003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Vomiting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171450</xdr:rowOff>
        </xdr:from>
        <xdr:to>
          <xdr:col>3</xdr:col>
          <xdr:colOff>581025</xdr:colOff>
          <xdr:row>31</xdr:row>
          <xdr:rowOff>9525</xdr:rowOff>
        </xdr:to>
        <xdr:sp macro="" textlink="">
          <xdr:nvSpPr>
            <xdr:cNvPr id="7223" name="Check Box 55" hidden="1">
              <a:extLst>
                <a:ext uri="{63B3BB69-23CF-44E3-9099-C40C66FF867C}">
                  <a14:compatExt spid="_x0000_s7223"/>
                </a:ext>
                <a:ext uri="{FF2B5EF4-FFF2-40B4-BE49-F238E27FC236}">
                  <a16:creationId xmlns:a16="http://schemas.microsoft.com/office/drawing/2014/main" id="{00000000-0008-0000-0000-00003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Diarrhea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30</xdr:row>
          <xdr:rowOff>161925</xdr:rowOff>
        </xdr:from>
        <xdr:to>
          <xdr:col>3</xdr:col>
          <xdr:colOff>581025</xdr:colOff>
          <xdr:row>32</xdr:row>
          <xdr:rowOff>0</xdr:rowOff>
        </xdr:to>
        <xdr:sp macro="" textlink="">
          <xdr:nvSpPr>
            <xdr:cNvPr id="7224" name="Check Box 56" hidden="1">
              <a:extLst>
                <a:ext uri="{63B3BB69-23CF-44E3-9099-C40C66FF867C}">
                  <a14:compatExt spid="_x0000_s7224"/>
                </a:ext>
                <a:ext uri="{FF2B5EF4-FFF2-40B4-BE49-F238E27FC236}">
                  <a16:creationId xmlns:a16="http://schemas.microsoft.com/office/drawing/2014/main" id="{00000000-0008-0000-0000-00003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Constipation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161925</xdr:rowOff>
        </xdr:from>
        <xdr:to>
          <xdr:col>3</xdr:col>
          <xdr:colOff>581025</xdr:colOff>
          <xdr:row>33</xdr:row>
          <xdr:rowOff>0</xdr:rowOff>
        </xdr:to>
        <xdr:sp macro="" textlink="">
          <xdr:nvSpPr>
            <xdr:cNvPr id="7225" name="Check Box 57" hidden="1">
              <a:extLst>
                <a:ext uri="{63B3BB69-23CF-44E3-9099-C40C66FF867C}">
                  <a14:compatExt spid="_x0000_s7225"/>
                </a:ext>
                <a:ext uri="{FF2B5EF4-FFF2-40B4-BE49-F238E27FC236}">
                  <a16:creationId xmlns:a16="http://schemas.microsoft.com/office/drawing/2014/main" id="{00000000-0008-0000-0000-00003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Shortness of Breath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23</xdr:row>
          <xdr:rowOff>0</xdr:rowOff>
        </xdr:from>
        <xdr:to>
          <xdr:col>6</xdr:col>
          <xdr:colOff>114300</xdr:colOff>
          <xdr:row>24</xdr:row>
          <xdr:rowOff>28575</xdr:rowOff>
        </xdr:to>
        <xdr:sp macro="" textlink="">
          <xdr:nvSpPr>
            <xdr:cNvPr id="7226" name="Check Box 58" hidden="1">
              <a:extLst>
                <a:ext uri="{63B3BB69-23CF-44E3-9099-C40C66FF867C}">
                  <a14:compatExt spid="_x0000_s7226"/>
                </a:ext>
                <a:ext uri="{FF2B5EF4-FFF2-40B4-BE49-F238E27FC236}">
                  <a16:creationId xmlns:a16="http://schemas.microsoft.com/office/drawing/2014/main" id="{00000000-0008-0000-0000-00003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Airway Clearance Difficulty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24</xdr:row>
          <xdr:rowOff>0</xdr:rowOff>
        </xdr:from>
        <xdr:to>
          <xdr:col>6</xdr:col>
          <xdr:colOff>114300</xdr:colOff>
          <xdr:row>25</xdr:row>
          <xdr:rowOff>28575</xdr:rowOff>
        </xdr:to>
        <xdr:sp macro="" textlink="">
          <xdr:nvSpPr>
            <xdr:cNvPr id="7227" name="Check Box 59" hidden="1">
              <a:extLst>
                <a:ext uri="{63B3BB69-23CF-44E3-9099-C40C66FF867C}">
                  <a14:compatExt spid="_x0000_s7227"/>
                </a:ext>
                <a:ext uri="{FF2B5EF4-FFF2-40B4-BE49-F238E27FC236}">
                  <a16:creationId xmlns:a16="http://schemas.microsoft.com/office/drawing/2014/main" id="{00000000-0008-0000-0000-00003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Confusion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24</xdr:row>
          <xdr:rowOff>180975</xdr:rowOff>
        </xdr:from>
        <xdr:to>
          <xdr:col>6</xdr:col>
          <xdr:colOff>114300</xdr:colOff>
          <xdr:row>26</xdr:row>
          <xdr:rowOff>19050</xdr:rowOff>
        </xdr:to>
        <xdr:sp macro="" textlink="">
          <xdr:nvSpPr>
            <xdr:cNvPr id="7228" name="Check Box 60" hidden="1">
              <a:extLst>
                <a:ext uri="{63B3BB69-23CF-44E3-9099-C40C66FF867C}">
                  <a14:compatExt spid="_x0000_s7228"/>
                </a:ext>
                <a:ext uri="{FF2B5EF4-FFF2-40B4-BE49-F238E27FC236}">
                  <a16:creationId xmlns:a16="http://schemas.microsoft.com/office/drawing/2014/main" id="{00000000-0008-0000-0000-00003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Drowsiness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25</xdr:row>
          <xdr:rowOff>180975</xdr:rowOff>
        </xdr:from>
        <xdr:to>
          <xdr:col>6</xdr:col>
          <xdr:colOff>114300</xdr:colOff>
          <xdr:row>27</xdr:row>
          <xdr:rowOff>19050</xdr:rowOff>
        </xdr:to>
        <xdr:sp macro="" textlink="">
          <xdr:nvSpPr>
            <xdr:cNvPr id="7229" name="Check Box 61" hidden="1">
              <a:extLst>
                <a:ext uri="{63B3BB69-23CF-44E3-9099-C40C66FF867C}">
                  <a14:compatExt spid="_x0000_s7229"/>
                </a:ext>
                <a:ext uri="{FF2B5EF4-FFF2-40B4-BE49-F238E27FC236}">
                  <a16:creationId xmlns:a16="http://schemas.microsoft.com/office/drawing/2014/main" id="{00000000-0008-0000-0000-00003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Cough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26</xdr:row>
          <xdr:rowOff>180975</xdr:rowOff>
        </xdr:from>
        <xdr:to>
          <xdr:col>6</xdr:col>
          <xdr:colOff>114300</xdr:colOff>
          <xdr:row>28</xdr:row>
          <xdr:rowOff>19050</xdr:rowOff>
        </xdr:to>
        <xdr:sp macro="" textlink="">
          <xdr:nvSpPr>
            <xdr:cNvPr id="7230" name="Check Box 62" hidden="1">
              <a:extLst>
                <a:ext uri="{63B3BB69-23CF-44E3-9099-C40C66FF867C}">
                  <a14:compatExt spid="_x0000_s7230"/>
                </a:ext>
                <a:ext uri="{FF2B5EF4-FFF2-40B4-BE49-F238E27FC236}">
                  <a16:creationId xmlns:a16="http://schemas.microsoft.com/office/drawing/2014/main" id="{00000000-0008-0000-0000-00003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Wheezing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27</xdr:row>
          <xdr:rowOff>171450</xdr:rowOff>
        </xdr:from>
        <xdr:to>
          <xdr:col>6</xdr:col>
          <xdr:colOff>114300</xdr:colOff>
          <xdr:row>29</xdr:row>
          <xdr:rowOff>9525</xdr:rowOff>
        </xdr:to>
        <xdr:sp macro="" textlink="">
          <xdr:nvSpPr>
            <xdr:cNvPr id="7231" name="Check Box 63" hidden="1">
              <a:extLst>
                <a:ext uri="{63B3BB69-23CF-44E3-9099-C40C66FF867C}">
                  <a14:compatExt spid="_x0000_s7231"/>
                </a:ext>
                <a:ext uri="{FF2B5EF4-FFF2-40B4-BE49-F238E27FC236}">
                  <a16:creationId xmlns:a16="http://schemas.microsoft.com/office/drawing/2014/main" id="{00000000-0008-0000-0000-00003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Palpitations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28</xdr:row>
          <xdr:rowOff>171450</xdr:rowOff>
        </xdr:from>
        <xdr:to>
          <xdr:col>6</xdr:col>
          <xdr:colOff>114300</xdr:colOff>
          <xdr:row>30</xdr:row>
          <xdr:rowOff>9525</xdr:rowOff>
        </xdr:to>
        <xdr:sp macro="" textlink="">
          <xdr:nvSpPr>
            <xdr:cNvPr id="7232" name="Check Box 64" hidden="1">
              <a:extLst>
                <a:ext uri="{63B3BB69-23CF-44E3-9099-C40C66FF867C}">
                  <a14:compatExt spid="_x0000_s7232"/>
                </a:ext>
                <a:ext uri="{FF2B5EF4-FFF2-40B4-BE49-F238E27FC236}">
                  <a16:creationId xmlns:a16="http://schemas.microsoft.com/office/drawing/2014/main" id="{00000000-0008-0000-0000-00004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Tachycardia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29</xdr:row>
          <xdr:rowOff>171450</xdr:rowOff>
        </xdr:from>
        <xdr:to>
          <xdr:col>6</xdr:col>
          <xdr:colOff>114300</xdr:colOff>
          <xdr:row>31</xdr:row>
          <xdr:rowOff>9525</xdr:rowOff>
        </xdr:to>
        <xdr:sp macro="" textlink="">
          <xdr:nvSpPr>
            <xdr:cNvPr id="7233" name="Check Box 65" hidden="1">
              <a:extLst>
                <a:ext uri="{63B3BB69-23CF-44E3-9099-C40C66FF867C}">
                  <a14:compatExt spid="_x0000_s7233"/>
                </a:ext>
                <a:ext uri="{FF2B5EF4-FFF2-40B4-BE49-F238E27FC236}">
                  <a16:creationId xmlns:a16="http://schemas.microsoft.com/office/drawing/2014/main" id="{00000000-0008-0000-0000-00004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Bradycardia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30</xdr:row>
          <xdr:rowOff>161925</xdr:rowOff>
        </xdr:from>
        <xdr:to>
          <xdr:col>6</xdr:col>
          <xdr:colOff>114300</xdr:colOff>
          <xdr:row>32</xdr:row>
          <xdr:rowOff>0</xdr:rowOff>
        </xdr:to>
        <xdr:sp macro="" textlink="">
          <xdr:nvSpPr>
            <xdr:cNvPr id="7234" name="Check Box 66" hidden="1">
              <a:extLst>
                <a:ext uri="{63B3BB69-23CF-44E3-9099-C40C66FF867C}">
                  <a14:compatExt spid="_x0000_s7234"/>
                </a:ext>
                <a:ext uri="{FF2B5EF4-FFF2-40B4-BE49-F238E27FC236}">
                  <a16:creationId xmlns:a16="http://schemas.microsoft.com/office/drawing/2014/main" id="{00000000-0008-0000-0000-00004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Hypertension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31</xdr:row>
          <xdr:rowOff>161925</xdr:rowOff>
        </xdr:from>
        <xdr:to>
          <xdr:col>6</xdr:col>
          <xdr:colOff>114300</xdr:colOff>
          <xdr:row>33</xdr:row>
          <xdr:rowOff>0</xdr:rowOff>
        </xdr:to>
        <xdr:sp macro="" textlink="">
          <xdr:nvSpPr>
            <xdr:cNvPr id="7235" name="Check Box 67" hidden="1">
              <a:extLst>
                <a:ext uri="{63B3BB69-23CF-44E3-9099-C40C66FF867C}">
                  <a14:compatExt spid="_x0000_s7235"/>
                </a:ext>
                <a:ext uri="{FF2B5EF4-FFF2-40B4-BE49-F238E27FC236}">
                  <a16:creationId xmlns:a16="http://schemas.microsoft.com/office/drawing/2014/main" id="{00000000-0008-0000-0000-00004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Hypotension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23</xdr:row>
          <xdr:rowOff>0</xdr:rowOff>
        </xdr:from>
        <xdr:to>
          <xdr:col>9</xdr:col>
          <xdr:colOff>0</xdr:colOff>
          <xdr:row>24</xdr:row>
          <xdr:rowOff>28575</xdr:rowOff>
        </xdr:to>
        <xdr:sp macro="" textlink="">
          <xdr:nvSpPr>
            <xdr:cNvPr id="7236" name="Check Box 68" hidden="1">
              <a:extLst>
                <a:ext uri="{63B3BB69-23CF-44E3-9099-C40C66FF867C}">
                  <a14:compatExt spid="_x0000_s7236"/>
                </a:ext>
                <a:ext uri="{FF2B5EF4-FFF2-40B4-BE49-F238E27FC236}">
                  <a16:creationId xmlns:a16="http://schemas.microsoft.com/office/drawing/2014/main" id="{00000000-0008-0000-0000-00004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Cognitive Impairment (severe)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23</xdr:row>
          <xdr:rowOff>180975</xdr:rowOff>
        </xdr:from>
        <xdr:to>
          <xdr:col>9</xdr:col>
          <xdr:colOff>0</xdr:colOff>
          <xdr:row>25</xdr:row>
          <xdr:rowOff>19050</xdr:rowOff>
        </xdr:to>
        <xdr:sp macro="" textlink="">
          <xdr:nvSpPr>
            <xdr:cNvPr id="7239" name="Check Box 71" hidden="1">
              <a:extLst>
                <a:ext uri="{63B3BB69-23CF-44E3-9099-C40C66FF867C}">
                  <a14:compatExt spid="_x0000_s7239"/>
                </a:ext>
                <a:ext uri="{FF2B5EF4-FFF2-40B4-BE49-F238E27FC236}">
                  <a16:creationId xmlns:a16="http://schemas.microsoft.com/office/drawing/2014/main" id="{00000000-0008-0000-0000-00004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Cognitive Impairment (mild)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24</xdr:row>
          <xdr:rowOff>180975</xdr:rowOff>
        </xdr:from>
        <xdr:to>
          <xdr:col>8</xdr:col>
          <xdr:colOff>200025</xdr:colOff>
          <xdr:row>26</xdr:row>
          <xdr:rowOff>19050</xdr:rowOff>
        </xdr:to>
        <xdr:sp macro="" textlink="">
          <xdr:nvSpPr>
            <xdr:cNvPr id="7240" name="Check Box 72" hidden="1">
              <a:extLst>
                <a:ext uri="{63B3BB69-23CF-44E3-9099-C40C66FF867C}">
                  <a14:compatExt spid="_x0000_s7240"/>
                </a:ext>
                <a:ext uri="{FF2B5EF4-FFF2-40B4-BE49-F238E27FC236}">
                  <a16:creationId xmlns:a16="http://schemas.microsoft.com/office/drawing/2014/main" id="{00000000-0008-0000-0000-00004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Weakness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25</xdr:row>
          <xdr:rowOff>171450</xdr:rowOff>
        </xdr:from>
        <xdr:to>
          <xdr:col>8</xdr:col>
          <xdr:colOff>200025</xdr:colOff>
          <xdr:row>27</xdr:row>
          <xdr:rowOff>9525</xdr:rowOff>
        </xdr:to>
        <xdr:sp macro="" textlink="">
          <xdr:nvSpPr>
            <xdr:cNvPr id="7241" name="Check Box 73" hidden="1">
              <a:extLst>
                <a:ext uri="{63B3BB69-23CF-44E3-9099-C40C66FF867C}">
                  <a14:compatExt spid="_x0000_s7241"/>
                </a:ext>
                <a:ext uri="{FF2B5EF4-FFF2-40B4-BE49-F238E27FC236}">
                  <a16:creationId xmlns:a16="http://schemas.microsoft.com/office/drawing/2014/main" id="{00000000-0008-0000-0000-00004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Fever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26</xdr:row>
          <xdr:rowOff>171450</xdr:rowOff>
        </xdr:from>
        <xdr:to>
          <xdr:col>8</xdr:col>
          <xdr:colOff>200025</xdr:colOff>
          <xdr:row>28</xdr:row>
          <xdr:rowOff>9525</xdr:rowOff>
        </xdr:to>
        <xdr:sp macro="" textlink="">
          <xdr:nvSpPr>
            <xdr:cNvPr id="7242" name="Check Box 74" hidden="1">
              <a:extLst>
                <a:ext uri="{63B3BB69-23CF-44E3-9099-C40C66FF867C}">
                  <a14:compatExt spid="_x0000_s7242"/>
                </a:ext>
                <a:ext uri="{FF2B5EF4-FFF2-40B4-BE49-F238E27FC236}">
                  <a16:creationId xmlns:a16="http://schemas.microsoft.com/office/drawing/2014/main" id="{00000000-0008-0000-0000-00004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Anorexia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27</xdr:row>
          <xdr:rowOff>161925</xdr:rowOff>
        </xdr:from>
        <xdr:to>
          <xdr:col>8</xdr:col>
          <xdr:colOff>200025</xdr:colOff>
          <xdr:row>29</xdr:row>
          <xdr:rowOff>0</xdr:rowOff>
        </xdr:to>
        <xdr:sp macro="" textlink="">
          <xdr:nvSpPr>
            <xdr:cNvPr id="7243" name="Check Box 75" hidden="1">
              <a:extLst>
                <a:ext uri="{63B3BB69-23CF-44E3-9099-C40C66FF867C}">
                  <a14:compatExt spid="_x0000_s7243"/>
                </a:ext>
                <a:ext uri="{FF2B5EF4-FFF2-40B4-BE49-F238E27FC236}">
                  <a16:creationId xmlns:a16="http://schemas.microsoft.com/office/drawing/2014/main" id="{00000000-0008-0000-0000-00004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Adipsia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28</xdr:row>
          <xdr:rowOff>161925</xdr:rowOff>
        </xdr:from>
        <xdr:to>
          <xdr:col>8</xdr:col>
          <xdr:colOff>200025</xdr:colOff>
          <xdr:row>30</xdr:row>
          <xdr:rowOff>0</xdr:rowOff>
        </xdr:to>
        <xdr:sp macro="" textlink="">
          <xdr:nvSpPr>
            <xdr:cNvPr id="7244" name="Check Box 76" hidden="1">
              <a:extLst>
                <a:ext uri="{63B3BB69-23CF-44E3-9099-C40C66FF867C}">
                  <a14:compatExt spid="_x0000_s7244"/>
                </a:ext>
                <a:ext uri="{FF2B5EF4-FFF2-40B4-BE49-F238E27FC236}">
                  <a16:creationId xmlns:a16="http://schemas.microsoft.com/office/drawing/2014/main" id="{00000000-0008-0000-0000-00004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Agitation/Restlessness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52</xdr:row>
          <xdr:rowOff>0</xdr:rowOff>
        </xdr:from>
        <xdr:to>
          <xdr:col>5</xdr:col>
          <xdr:colOff>0</xdr:colOff>
          <xdr:row>53</xdr:row>
          <xdr:rowOff>9525</xdr:rowOff>
        </xdr:to>
        <xdr:sp macro="" textlink="">
          <xdr:nvSpPr>
            <xdr:cNvPr id="7260" name="Drop Down 92" hidden="1">
              <a:extLst>
                <a:ext uri="{63B3BB69-23CF-44E3-9099-C40C66FF867C}">
                  <a14:compatExt spid="_x0000_s7260"/>
                </a:ext>
                <a:ext uri="{FF2B5EF4-FFF2-40B4-BE49-F238E27FC236}">
                  <a16:creationId xmlns:a16="http://schemas.microsoft.com/office/drawing/2014/main" id="{00000000-0008-0000-0000-00005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158</xdr:row>
      <xdr:rowOff>0</xdr:rowOff>
    </xdr:from>
    <xdr:to>
      <xdr:col>8</xdr:col>
      <xdr:colOff>1998</xdr:colOff>
      <xdr:row>176</xdr:row>
      <xdr:rowOff>9854</xdr:rowOff>
    </xdr:to>
    <xdr:sp macro="" textlink="">
      <xdr:nvSpPr>
        <xdr:cNvPr id="7268" name="Group Box 100" hidden="1">
          <a:extLst>
            <a:ext uri="{63B3BB69-23CF-44E3-9099-C40C66FF867C}">
              <a14:compatExt xmlns:a14="http://schemas.microsoft.com/office/drawing/2010/main" spid="_x0000_s7268"/>
            </a:ext>
            <a:ext uri="{FF2B5EF4-FFF2-40B4-BE49-F238E27FC236}">
              <a16:creationId xmlns:a16="http://schemas.microsoft.com/office/drawing/2014/main" id="{00000000-0008-0000-0000-000064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 vertOverflow="clip" wrap="none" lIns="36576" tIns="36576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Segoe UI"/>
              <a:cs typeface="Segoe UI"/>
            </a:rPr>
            <a:t>Experience Description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220</xdr:row>
          <xdr:rowOff>76200</xdr:rowOff>
        </xdr:from>
        <xdr:to>
          <xdr:col>7</xdr:col>
          <xdr:colOff>228600</xdr:colOff>
          <xdr:row>223</xdr:row>
          <xdr:rowOff>76200</xdr:rowOff>
        </xdr:to>
        <xdr:sp macro="" textlink="">
          <xdr:nvSpPr>
            <xdr:cNvPr id="7288" name="Button 120" hidden="1">
              <a:extLst>
                <a:ext uri="{63B3BB69-23CF-44E3-9099-C40C66FF867C}">
                  <a14:compatExt spid="_x0000_s7288"/>
                </a:ext>
                <a:ext uri="{FF2B5EF4-FFF2-40B4-BE49-F238E27FC236}">
                  <a16:creationId xmlns:a16="http://schemas.microsoft.com/office/drawing/2014/main" id="{00000000-0008-0000-0000-00007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9</xdr:row>
          <xdr:rowOff>85725</xdr:rowOff>
        </xdr:from>
        <xdr:to>
          <xdr:col>11</xdr:col>
          <xdr:colOff>285750</xdr:colOff>
          <xdr:row>11</xdr:row>
          <xdr:rowOff>123825</xdr:rowOff>
        </xdr:to>
        <xdr:sp macro="" textlink="">
          <xdr:nvSpPr>
            <xdr:cNvPr id="7291" name="Button 123" hidden="1">
              <a:extLst>
                <a:ext uri="{63B3BB69-23CF-44E3-9099-C40C66FF867C}">
                  <a14:compatExt spid="_x0000_s7291"/>
                </a:ext>
                <a:ext uri="{FF2B5EF4-FFF2-40B4-BE49-F238E27FC236}">
                  <a16:creationId xmlns:a16="http://schemas.microsoft.com/office/drawing/2014/main" id="{00000000-0008-0000-0000-00007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216</xdr:row>
          <xdr:rowOff>0</xdr:rowOff>
        </xdr:from>
        <xdr:to>
          <xdr:col>6</xdr:col>
          <xdr:colOff>0</xdr:colOff>
          <xdr:row>219</xdr:row>
          <xdr:rowOff>0</xdr:rowOff>
        </xdr:to>
        <xdr:sp macro="" textlink="">
          <xdr:nvSpPr>
            <xdr:cNvPr id="7298" name="Group Box 130" hidden="1">
              <a:extLst>
                <a:ext uri="{63B3BB69-23CF-44E3-9099-C40C66FF867C}">
                  <a14:compatExt spid="_x0000_s7298"/>
                </a:ext>
                <a:ext uri="{FF2B5EF4-FFF2-40B4-BE49-F238E27FC236}">
                  <a16:creationId xmlns:a16="http://schemas.microsoft.com/office/drawing/2014/main" id="{00000000-0008-0000-0000-00008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Submitter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217</xdr:row>
          <xdr:rowOff>0</xdr:rowOff>
        </xdr:from>
        <xdr:to>
          <xdr:col>5</xdr:col>
          <xdr:colOff>419100</xdr:colOff>
          <xdr:row>218</xdr:row>
          <xdr:rowOff>9525</xdr:rowOff>
        </xdr:to>
        <xdr:sp macro="" textlink="">
          <xdr:nvSpPr>
            <xdr:cNvPr id="7299" name="Drop Down 131" hidden="1">
              <a:extLst>
                <a:ext uri="{63B3BB69-23CF-44E3-9099-C40C66FF867C}">
                  <a14:compatExt spid="_x0000_s7299"/>
                </a:ext>
                <a:ext uri="{FF2B5EF4-FFF2-40B4-BE49-F238E27FC236}">
                  <a16:creationId xmlns:a16="http://schemas.microsoft.com/office/drawing/2014/main" id="{00000000-0008-0000-0000-00008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179</xdr:row>
          <xdr:rowOff>0</xdr:rowOff>
        </xdr:from>
        <xdr:to>
          <xdr:col>6</xdr:col>
          <xdr:colOff>0</xdr:colOff>
          <xdr:row>182</xdr:row>
          <xdr:rowOff>0</xdr:rowOff>
        </xdr:to>
        <xdr:sp macro="" textlink="">
          <xdr:nvSpPr>
            <xdr:cNvPr id="7302" name="Group Box 134" hidden="1">
              <a:extLst>
                <a:ext uri="{63B3BB69-23CF-44E3-9099-C40C66FF867C}">
                  <a14:compatExt spid="_x0000_s7302"/>
                </a:ext>
                <a:ext uri="{FF2B5EF4-FFF2-40B4-BE49-F238E27FC236}">
                  <a16:creationId xmlns:a16="http://schemas.microsoft.com/office/drawing/2014/main" id="{00000000-0008-0000-0000-00008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Mobility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285750</xdr:colOff>
          <xdr:row>180</xdr:row>
          <xdr:rowOff>0</xdr:rowOff>
        </xdr:from>
        <xdr:to>
          <xdr:col>5</xdr:col>
          <xdr:colOff>66675</xdr:colOff>
          <xdr:row>181</xdr:row>
          <xdr:rowOff>0</xdr:rowOff>
        </xdr:to>
        <xdr:sp macro="" textlink="">
          <xdr:nvSpPr>
            <xdr:cNvPr id="7303" name="Drop Down 135" hidden="1">
              <a:extLst>
                <a:ext uri="{63B3BB69-23CF-44E3-9099-C40C66FF867C}">
                  <a14:compatExt spid="_x0000_s7303"/>
                </a:ext>
                <a:ext uri="{FF2B5EF4-FFF2-40B4-BE49-F238E27FC236}">
                  <a16:creationId xmlns:a16="http://schemas.microsoft.com/office/drawing/2014/main" id="{00000000-0008-0000-0000-00008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173</xdr:row>
          <xdr:rowOff>0</xdr:rowOff>
        </xdr:from>
        <xdr:to>
          <xdr:col>8</xdr:col>
          <xdr:colOff>0</xdr:colOff>
          <xdr:row>178</xdr:row>
          <xdr:rowOff>0</xdr:rowOff>
        </xdr:to>
        <xdr:sp macro="" textlink="">
          <xdr:nvSpPr>
            <xdr:cNvPr id="7304" name="Group Box 136" hidden="1">
              <a:extLst>
                <a:ext uri="{63B3BB69-23CF-44E3-9099-C40C66FF867C}">
                  <a14:compatExt spid="_x0000_s7304"/>
                </a:ext>
                <a:ext uri="{FF2B5EF4-FFF2-40B4-BE49-F238E27FC236}">
                  <a16:creationId xmlns:a16="http://schemas.microsoft.com/office/drawing/2014/main" id="{00000000-0008-0000-0000-00008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Notable Lab Results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188</xdr:row>
          <xdr:rowOff>0</xdr:rowOff>
        </xdr:from>
        <xdr:to>
          <xdr:col>3</xdr:col>
          <xdr:colOff>400050</xdr:colOff>
          <xdr:row>189</xdr:row>
          <xdr:rowOff>0</xdr:rowOff>
        </xdr:to>
        <xdr:sp macro="" textlink="">
          <xdr:nvSpPr>
            <xdr:cNvPr id="7305" name="Label 137" hidden="1">
              <a:extLst>
                <a:ext uri="{63B3BB69-23CF-44E3-9099-C40C66FF867C}">
                  <a14:compatExt spid="_x0000_s7305"/>
                </a:ext>
                <a:ext uri="{FF2B5EF4-FFF2-40B4-BE49-F238E27FC236}">
                  <a16:creationId xmlns:a16="http://schemas.microsoft.com/office/drawing/2014/main" id="{00000000-0008-0000-0000-00008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Eye Opening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190</xdr:row>
          <xdr:rowOff>0</xdr:rowOff>
        </xdr:from>
        <xdr:to>
          <xdr:col>3</xdr:col>
          <xdr:colOff>0</xdr:colOff>
          <xdr:row>191</xdr:row>
          <xdr:rowOff>0</xdr:rowOff>
        </xdr:to>
        <xdr:sp macro="" textlink="">
          <xdr:nvSpPr>
            <xdr:cNvPr id="7306" name="Label 138" hidden="1">
              <a:extLst>
                <a:ext uri="{63B3BB69-23CF-44E3-9099-C40C66FF867C}">
                  <a14:compatExt spid="_x0000_s7306"/>
                </a:ext>
                <a:ext uri="{FF2B5EF4-FFF2-40B4-BE49-F238E27FC236}">
                  <a16:creationId xmlns:a16="http://schemas.microsoft.com/office/drawing/2014/main" id="{00000000-0008-0000-0000-00008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Verbal Response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192</xdr:row>
          <xdr:rowOff>0</xdr:rowOff>
        </xdr:from>
        <xdr:to>
          <xdr:col>3</xdr:col>
          <xdr:colOff>400050</xdr:colOff>
          <xdr:row>193</xdr:row>
          <xdr:rowOff>0</xdr:rowOff>
        </xdr:to>
        <xdr:sp macro="" textlink="">
          <xdr:nvSpPr>
            <xdr:cNvPr id="7307" name="Label 139" hidden="1">
              <a:extLst>
                <a:ext uri="{63B3BB69-23CF-44E3-9099-C40C66FF867C}">
                  <a14:compatExt spid="_x0000_s7307"/>
                </a:ext>
                <a:ext uri="{FF2B5EF4-FFF2-40B4-BE49-F238E27FC236}">
                  <a16:creationId xmlns:a16="http://schemas.microsoft.com/office/drawing/2014/main" id="{00000000-0008-0000-0000-00008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Motor Response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188</xdr:row>
          <xdr:rowOff>0</xdr:rowOff>
        </xdr:from>
        <xdr:to>
          <xdr:col>6</xdr:col>
          <xdr:colOff>0</xdr:colOff>
          <xdr:row>189</xdr:row>
          <xdr:rowOff>0</xdr:rowOff>
        </xdr:to>
        <xdr:sp macro="" textlink="">
          <xdr:nvSpPr>
            <xdr:cNvPr id="7308" name="Drop Down 140" hidden="1">
              <a:extLst>
                <a:ext uri="{63B3BB69-23CF-44E3-9099-C40C66FF867C}">
                  <a14:compatExt spid="_x0000_s7308"/>
                </a:ext>
                <a:ext uri="{FF2B5EF4-FFF2-40B4-BE49-F238E27FC236}">
                  <a16:creationId xmlns:a16="http://schemas.microsoft.com/office/drawing/2014/main" id="{00000000-0008-0000-0000-00008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189</xdr:row>
          <xdr:rowOff>180975</xdr:rowOff>
        </xdr:from>
        <xdr:to>
          <xdr:col>6</xdr:col>
          <xdr:colOff>0</xdr:colOff>
          <xdr:row>191</xdr:row>
          <xdr:rowOff>0</xdr:rowOff>
        </xdr:to>
        <xdr:sp macro="" textlink="">
          <xdr:nvSpPr>
            <xdr:cNvPr id="7309" name="Drop Down 141" hidden="1">
              <a:extLst>
                <a:ext uri="{63B3BB69-23CF-44E3-9099-C40C66FF867C}">
                  <a14:compatExt spid="_x0000_s7309"/>
                </a:ext>
                <a:ext uri="{FF2B5EF4-FFF2-40B4-BE49-F238E27FC236}">
                  <a16:creationId xmlns:a16="http://schemas.microsoft.com/office/drawing/2014/main" id="{00000000-0008-0000-0000-00008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191</xdr:row>
          <xdr:rowOff>180975</xdr:rowOff>
        </xdr:from>
        <xdr:to>
          <xdr:col>6</xdr:col>
          <xdr:colOff>0</xdr:colOff>
          <xdr:row>193</xdr:row>
          <xdr:rowOff>0</xdr:rowOff>
        </xdr:to>
        <xdr:sp macro="" textlink="">
          <xdr:nvSpPr>
            <xdr:cNvPr id="7310" name="Drop Down 142" hidden="1">
              <a:extLst>
                <a:ext uri="{63B3BB69-23CF-44E3-9099-C40C66FF867C}">
                  <a14:compatExt spid="_x0000_s7310"/>
                </a:ext>
                <a:ext uri="{FF2B5EF4-FFF2-40B4-BE49-F238E27FC236}">
                  <a16:creationId xmlns:a16="http://schemas.microsoft.com/office/drawing/2014/main" id="{00000000-0008-0000-0000-00008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200</xdr:row>
          <xdr:rowOff>0</xdr:rowOff>
        </xdr:from>
        <xdr:to>
          <xdr:col>8</xdr:col>
          <xdr:colOff>0</xdr:colOff>
          <xdr:row>201</xdr:row>
          <xdr:rowOff>0</xdr:rowOff>
        </xdr:to>
        <xdr:sp macro="" textlink="">
          <xdr:nvSpPr>
            <xdr:cNvPr id="7314" name="Drop Down 146" hidden="1">
              <a:extLst>
                <a:ext uri="{63B3BB69-23CF-44E3-9099-C40C66FF867C}">
                  <a14:compatExt spid="_x0000_s7314"/>
                </a:ext>
                <a:ext uri="{FF2B5EF4-FFF2-40B4-BE49-F238E27FC236}">
                  <a16:creationId xmlns:a16="http://schemas.microsoft.com/office/drawing/2014/main" id="{00000000-0008-0000-0000-00009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203</xdr:row>
          <xdr:rowOff>180975</xdr:rowOff>
        </xdr:from>
        <xdr:to>
          <xdr:col>8</xdr:col>
          <xdr:colOff>0</xdr:colOff>
          <xdr:row>205</xdr:row>
          <xdr:rowOff>0</xdr:rowOff>
        </xdr:to>
        <xdr:sp macro="" textlink="">
          <xdr:nvSpPr>
            <xdr:cNvPr id="7315" name="Drop Down 147" hidden="1">
              <a:extLst>
                <a:ext uri="{63B3BB69-23CF-44E3-9099-C40C66FF867C}">
                  <a14:compatExt spid="_x0000_s7315"/>
                </a:ext>
                <a:ext uri="{FF2B5EF4-FFF2-40B4-BE49-F238E27FC236}">
                  <a16:creationId xmlns:a16="http://schemas.microsoft.com/office/drawing/2014/main" id="{00000000-0008-0000-0000-00009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208</xdr:row>
          <xdr:rowOff>0</xdr:rowOff>
        </xdr:from>
        <xdr:to>
          <xdr:col>3</xdr:col>
          <xdr:colOff>400050</xdr:colOff>
          <xdr:row>209</xdr:row>
          <xdr:rowOff>28575</xdr:rowOff>
        </xdr:to>
        <xdr:sp macro="" textlink="">
          <xdr:nvSpPr>
            <xdr:cNvPr id="7316" name="Check Box 148" hidden="1">
              <a:extLst>
                <a:ext uri="{63B3BB69-23CF-44E3-9099-C40C66FF867C}">
                  <a14:compatExt spid="_x0000_s7316"/>
                </a:ext>
                <a:ext uri="{FF2B5EF4-FFF2-40B4-BE49-F238E27FC236}">
                  <a16:creationId xmlns:a16="http://schemas.microsoft.com/office/drawing/2014/main" id="{00000000-0008-0000-0000-00009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Person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209</xdr:row>
          <xdr:rowOff>0</xdr:rowOff>
        </xdr:from>
        <xdr:to>
          <xdr:col>3</xdr:col>
          <xdr:colOff>200025</xdr:colOff>
          <xdr:row>210</xdr:row>
          <xdr:rowOff>28575</xdr:rowOff>
        </xdr:to>
        <xdr:sp macro="" textlink="">
          <xdr:nvSpPr>
            <xdr:cNvPr id="7317" name="Check Box 149" hidden="1">
              <a:extLst>
                <a:ext uri="{63B3BB69-23CF-44E3-9099-C40C66FF867C}">
                  <a14:compatExt spid="_x0000_s7317"/>
                </a:ext>
                <a:ext uri="{FF2B5EF4-FFF2-40B4-BE49-F238E27FC236}">
                  <a16:creationId xmlns:a16="http://schemas.microsoft.com/office/drawing/2014/main" id="{00000000-0008-0000-0000-00009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Place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210</xdr:row>
          <xdr:rowOff>0</xdr:rowOff>
        </xdr:from>
        <xdr:to>
          <xdr:col>3</xdr:col>
          <xdr:colOff>400050</xdr:colOff>
          <xdr:row>211</xdr:row>
          <xdr:rowOff>28575</xdr:rowOff>
        </xdr:to>
        <xdr:sp macro="" textlink="">
          <xdr:nvSpPr>
            <xdr:cNvPr id="7318" name="Check Box 150" hidden="1">
              <a:extLst>
                <a:ext uri="{63B3BB69-23CF-44E3-9099-C40C66FF867C}">
                  <a14:compatExt spid="_x0000_s7318"/>
                </a:ext>
                <a:ext uri="{FF2B5EF4-FFF2-40B4-BE49-F238E27FC236}">
                  <a16:creationId xmlns:a16="http://schemas.microsoft.com/office/drawing/2014/main" id="{00000000-0008-0000-0000-00009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211</xdr:row>
          <xdr:rowOff>0</xdr:rowOff>
        </xdr:from>
        <xdr:to>
          <xdr:col>3</xdr:col>
          <xdr:colOff>400050</xdr:colOff>
          <xdr:row>212</xdr:row>
          <xdr:rowOff>28575</xdr:rowOff>
        </xdr:to>
        <xdr:sp macro="" textlink="">
          <xdr:nvSpPr>
            <xdr:cNvPr id="7319" name="Check Box 151" hidden="1">
              <a:extLst>
                <a:ext uri="{63B3BB69-23CF-44E3-9099-C40C66FF867C}">
                  <a14:compatExt spid="_x0000_s7319"/>
                </a:ext>
                <a:ext uri="{FF2B5EF4-FFF2-40B4-BE49-F238E27FC236}">
                  <a16:creationId xmlns:a16="http://schemas.microsoft.com/office/drawing/2014/main" id="{00000000-0008-0000-0000-00009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Event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213</xdr:row>
          <xdr:rowOff>0</xdr:rowOff>
        </xdr:from>
        <xdr:to>
          <xdr:col>3</xdr:col>
          <xdr:colOff>0</xdr:colOff>
          <xdr:row>214</xdr:row>
          <xdr:rowOff>0</xdr:rowOff>
        </xdr:to>
        <xdr:sp macro="" textlink="">
          <xdr:nvSpPr>
            <xdr:cNvPr id="7320" name="Label 152" hidden="1">
              <a:extLst>
                <a:ext uri="{63B3BB69-23CF-44E3-9099-C40C66FF867C}">
                  <a14:compatExt spid="_x0000_s7320"/>
                </a:ext>
                <a:ext uri="{FF2B5EF4-FFF2-40B4-BE49-F238E27FC236}">
                  <a16:creationId xmlns:a16="http://schemas.microsoft.com/office/drawing/2014/main" id="{00000000-0008-0000-0000-00009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Score: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160</xdr:row>
          <xdr:rowOff>0</xdr:rowOff>
        </xdr:from>
        <xdr:to>
          <xdr:col>9</xdr:col>
          <xdr:colOff>0</xdr:colOff>
          <xdr:row>172</xdr:row>
          <xdr:rowOff>0</xdr:rowOff>
        </xdr:to>
        <xdr:sp macro="" textlink="">
          <xdr:nvSpPr>
            <xdr:cNvPr id="7321" name="Group Box 153" hidden="1">
              <a:extLst>
                <a:ext uri="{63B3BB69-23CF-44E3-9099-C40C66FF867C}">
                  <a14:compatExt spid="_x0000_s7321"/>
                </a:ext>
                <a:ext uri="{FF2B5EF4-FFF2-40B4-BE49-F238E27FC236}">
                  <a16:creationId xmlns:a16="http://schemas.microsoft.com/office/drawing/2014/main" id="{00000000-0008-0000-0000-00009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Symptoms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161</xdr:row>
          <xdr:rowOff>0</xdr:rowOff>
        </xdr:from>
        <xdr:to>
          <xdr:col>3</xdr:col>
          <xdr:colOff>581025</xdr:colOff>
          <xdr:row>162</xdr:row>
          <xdr:rowOff>28575</xdr:rowOff>
        </xdr:to>
        <xdr:sp macro="" textlink="">
          <xdr:nvSpPr>
            <xdr:cNvPr id="7322" name="Check Box 154" hidden="1">
              <a:extLst>
                <a:ext uri="{63B3BB69-23CF-44E3-9099-C40C66FF867C}">
                  <a14:compatExt spid="_x0000_s7322"/>
                </a:ext>
                <a:ext uri="{FF2B5EF4-FFF2-40B4-BE49-F238E27FC236}">
                  <a16:creationId xmlns:a16="http://schemas.microsoft.com/office/drawing/2014/main" id="{00000000-0008-0000-0000-00009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Pain - Generalized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162</xdr:row>
          <xdr:rowOff>0</xdr:rowOff>
        </xdr:from>
        <xdr:to>
          <xdr:col>3</xdr:col>
          <xdr:colOff>581025</xdr:colOff>
          <xdr:row>163</xdr:row>
          <xdr:rowOff>28575</xdr:rowOff>
        </xdr:to>
        <xdr:sp macro="" textlink="">
          <xdr:nvSpPr>
            <xdr:cNvPr id="7323" name="Check Box 155" hidden="1">
              <a:extLst>
                <a:ext uri="{63B3BB69-23CF-44E3-9099-C40C66FF867C}">
                  <a14:compatExt spid="_x0000_s7323"/>
                </a:ext>
                <a:ext uri="{FF2B5EF4-FFF2-40B4-BE49-F238E27FC236}">
                  <a16:creationId xmlns:a16="http://schemas.microsoft.com/office/drawing/2014/main" id="{00000000-0008-0000-0000-00009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Pain - Localized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162</xdr:row>
          <xdr:rowOff>180975</xdr:rowOff>
        </xdr:from>
        <xdr:to>
          <xdr:col>3</xdr:col>
          <xdr:colOff>581025</xdr:colOff>
          <xdr:row>164</xdr:row>
          <xdr:rowOff>19050</xdr:rowOff>
        </xdr:to>
        <xdr:sp macro="" textlink="">
          <xdr:nvSpPr>
            <xdr:cNvPr id="7324" name="Check Box 156" hidden="1">
              <a:extLst>
                <a:ext uri="{63B3BB69-23CF-44E3-9099-C40C66FF867C}">
                  <a14:compatExt spid="_x0000_s7324"/>
                </a:ext>
                <a:ext uri="{FF2B5EF4-FFF2-40B4-BE49-F238E27FC236}">
                  <a16:creationId xmlns:a16="http://schemas.microsoft.com/office/drawing/2014/main" id="{00000000-0008-0000-0000-00009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Incontinence of 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163</xdr:row>
          <xdr:rowOff>180975</xdr:rowOff>
        </xdr:from>
        <xdr:to>
          <xdr:col>3</xdr:col>
          <xdr:colOff>581025</xdr:colOff>
          <xdr:row>165</xdr:row>
          <xdr:rowOff>19050</xdr:rowOff>
        </xdr:to>
        <xdr:sp macro="" textlink="">
          <xdr:nvSpPr>
            <xdr:cNvPr id="7325" name="Check Box 157" hidden="1">
              <a:extLst>
                <a:ext uri="{63B3BB69-23CF-44E3-9099-C40C66FF867C}">
                  <a14:compatExt spid="_x0000_s7325"/>
                </a:ext>
                <a:ext uri="{FF2B5EF4-FFF2-40B4-BE49-F238E27FC236}">
                  <a16:creationId xmlns:a16="http://schemas.microsoft.com/office/drawing/2014/main" id="{00000000-0008-0000-0000-00009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Incontinence of Bowels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164</xdr:row>
          <xdr:rowOff>180975</xdr:rowOff>
        </xdr:from>
        <xdr:to>
          <xdr:col>3</xdr:col>
          <xdr:colOff>581025</xdr:colOff>
          <xdr:row>166</xdr:row>
          <xdr:rowOff>19050</xdr:rowOff>
        </xdr:to>
        <xdr:sp macro="" textlink="">
          <xdr:nvSpPr>
            <xdr:cNvPr id="7326" name="Check Box 158" hidden="1">
              <a:extLst>
                <a:ext uri="{63B3BB69-23CF-44E3-9099-C40C66FF867C}">
                  <a14:compatExt spid="_x0000_s7326"/>
                </a:ext>
                <a:ext uri="{FF2B5EF4-FFF2-40B4-BE49-F238E27FC236}">
                  <a16:creationId xmlns:a16="http://schemas.microsoft.com/office/drawing/2014/main" id="{00000000-0008-0000-0000-00009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Urinary Retention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165</xdr:row>
          <xdr:rowOff>171450</xdr:rowOff>
        </xdr:from>
        <xdr:to>
          <xdr:col>3</xdr:col>
          <xdr:colOff>581025</xdr:colOff>
          <xdr:row>167</xdr:row>
          <xdr:rowOff>9525</xdr:rowOff>
        </xdr:to>
        <xdr:sp macro="" textlink="">
          <xdr:nvSpPr>
            <xdr:cNvPr id="7327" name="Check Box 159" hidden="1">
              <a:extLst>
                <a:ext uri="{63B3BB69-23CF-44E3-9099-C40C66FF867C}">
                  <a14:compatExt spid="_x0000_s7327"/>
                </a:ext>
                <a:ext uri="{FF2B5EF4-FFF2-40B4-BE49-F238E27FC236}">
                  <a16:creationId xmlns:a16="http://schemas.microsoft.com/office/drawing/2014/main" id="{00000000-0008-0000-0000-00009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Nausea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166</xdr:row>
          <xdr:rowOff>171450</xdr:rowOff>
        </xdr:from>
        <xdr:to>
          <xdr:col>3</xdr:col>
          <xdr:colOff>581025</xdr:colOff>
          <xdr:row>168</xdr:row>
          <xdr:rowOff>9525</xdr:rowOff>
        </xdr:to>
        <xdr:sp macro="" textlink="">
          <xdr:nvSpPr>
            <xdr:cNvPr id="7328" name="Check Box 160" hidden="1">
              <a:extLst>
                <a:ext uri="{63B3BB69-23CF-44E3-9099-C40C66FF867C}">
                  <a14:compatExt spid="_x0000_s7328"/>
                </a:ext>
                <a:ext uri="{FF2B5EF4-FFF2-40B4-BE49-F238E27FC236}">
                  <a16:creationId xmlns:a16="http://schemas.microsoft.com/office/drawing/2014/main" id="{00000000-0008-0000-0000-0000A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Vomiting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171450</xdr:rowOff>
        </xdr:from>
        <xdr:to>
          <xdr:col>3</xdr:col>
          <xdr:colOff>581025</xdr:colOff>
          <xdr:row>169</xdr:row>
          <xdr:rowOff>9525</xdr:rowOff>
        </xdr:to>
        <xdr:sp macro="" textlink="">
          <xdr:nvSpPr>
            <xdr:cNvPr id="7329" name="Check Box 161" hidden="1">
              <a:extLst>
                <a:ext uri="{63B3BB69-23CF-44E3-9099-C40C66FF867C}">
                  <a14:compatExt spid="_x0000_s7329"/>
                </a:ext>
                <a:ext uri="{FF2B5EF4-FFF2-40B4-BE49-F238E27FC236}">
                  <a16:creationId xmlns:a16="http://schemas.microsoft.com/office/drawing/2014/main" id="{00000000-0008-0000-0000-0000A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Diarrhea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168</xdr:row>
          <xdr:rowOff>161925</xdr:rowOff>
        </xdr:from>
        <xdr:to>
          <xdr:col>3</xdr:col>
          <xdr:colOff>581025</xdr:colOff>
          <xdr:row>170</xdr:row>
          <xdr:rowOff>0</xdr:rowOff>
        </xdr:to>
        <xdr:sp macro="" textlink="">
          <xdr:nvSpPr>
            <xdr:cNvPr id="7330" name="Check Box 162" hidden="1">
              <a:extLst>
                <a:ext uri="{63B3BB69-23CF-44E3-9099-C40C66FF867C}">
                  <a14:compatExt spid="_x0000_s7330"/>
                </a:ext>
                <a:ext uri="{FF2B5EF4-FFF2-40B4-BE49-F238E27FC236}">
                  <a16:creationId xmlns:a16="http://schemas.microsoft.com/office/drawing/2014/main" id="{00000000-0008-0000-0000-0000A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Constipation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169</xdr:row>
          <xdr:rowOff>161925</xdr:rowOff>
        </xdr:from>
        <xdr:to>
          <xdr:col>3</xdr:col>
          <xdr:colOff>581025</xdr:colOff>
          <xdr:row>171</xdr:row>
          <xdr:rowOff>0</xdr:rowOff>
        </xdr:to>
        <xdr:sp macro="" textlink="">
          <xdr:nvSpPr>
            <xdr:cNvPr id="7331" name="Check Box 163" hidden="1">
              <a:extLst>
                <a:ext uri="{63B3BB69-23CF-44E3-9099-C40C66FF867C}">
                  <a14:compatExt spid="_x0000_s7331"/>
                </a:ext>
                <a:ext uri="{FF2B5EF4-FFF2-40B4-BE49-F238E27FC236}">
                  <a16:creationId xmlns:a16="http://schemas.microsoft.com/office/drawing/2014/main" id="{00000000-0008-0000-0000-0000A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Shortness of Breath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161</xdr:row>
          <xdr:rowOff>0</xdr:rowOff>
        </xdr:from>
        <xdr:to>
          <xdr:col>6</xdr:col>
          <xdr:colOff>114300</xdr:colOff>
          <xdr:row>162</xdr:row>
          <xdr:rowOff>28575</xdr:rowOff>
        </xdr:to>
        <xdr:sp macro="" textlink="">
          <xdr:nvSpPr>
            <xdr:cNvPr id="7332" name="Check Box 164" hidden="1">
              <a:extLst>
                <a:ext uri="{63B3BB69-23CF-44E3-9099-C40C66FF867C}">
                  <a14:compatExt spid="_x0000_s7332"/>
                </a:ext>
                <a:ext uri="{FF2B5EF4-FFF2-40B4-BE49-F238E27FC236}">
                  <a16:creationId xmlns:a16="http://schemas.microsoft.com/office/drawing/2014/main" id="{00000000-0008-0000-0000-0000A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Airway Clearance Difficulty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162</xdr:row>
          <xdr:rowOff>0</xdr:rowOff>
        </xdr:from>
        <xdr:to>
          <xdr:col>6</xdr:col>
          <xdr:colOff>114300</xdr:colOff>
          <xdr:row>163</xdr:row>
          <xdr:rowOff>28575</xdr:rowOff>
        </xdr:to>
        <xdr:sp macro="" textlink="">
          <xdr:nvSpPr>
            <xdr:cNvPr id="7333" name="Check Box 165" hidden="1">
              <a:extLst>
                <a:ext uri="{63B3BB69-23CF-44E3-9099-C40C66FF867C}">
                  <a14:compatExt spid="_x0000_s7333"/>
                </a:ext>
                <a:ext uri="{FF2B5EF4-FFF2-40B4-BE49-F238E27FC236}">
                  <a16:creationId xmlns:a16="http://schemas.microsoft.com/office/drawing/2014/main" id="{00000000-0008-0000-0000-0000A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Confusion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162</xdr:row>
          <xdr:rowOff>180975</xdr:rowOff>
        </xdr:from>
        <xdr:to>
          <xdr:col>6</xdr:col>
          <xdr:colOff>114300</xdr:colOff>
          <xdr:row>164</xdr:row>
          <xdr:rowOff>19050</xdr:rowOff>
        </xdr:to>
        <xdr:sp macro="" textlink="">
          <xdr:nvSpPr>
            <xdr:cNvPr id="7334" name="Check Box 166" hidden="1">
              <a:extLst>
                <a:ext uri="{63B3BB69-23CF-44E3-9099-C40C66FF867C}">
                  <a14:compatExt spid="_x0000_s7334"/>
                </a:ext>
                <a:ext uri="{FF2B5EF4-FFF2-40B4-BE49-F238E27FC236}">
                  <a16:creationId xmlns:a16="http://schemas.microsoft.com/office/drawing/2014/main" id="{00000000-0008-0000-0000-0000A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Drowsiness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163</xdr:row>
          <xdr:rowOff>180975</xdr:rowOff>
        </xdr:from>
        <xdr:to>
          <xdr:col>6</xdr:col>
          <xdr:colOff>114300</xdr:colOff>
          <xdr:row>165</xdr:row>
          <xdr:rowOff>19050</xdr:rowOff>
        </xdr:to>
        <xdr:sp macro="" textlink="">
          <xdr:nvSpPr>
            <xdr:cNvPr id="7335" name="Check Box 167" hidden="1">
              <a:extLst>
                <a:ext uri="{63B3BB69-23CF-44E3-9099-C40C66FF867C}">
                  <a14:compatExt spid="_x0000_s7335"/>
                </a:ext>
                <a:ext uri="{FF2B5EF4-FFF2-40B4-BE49-F238E27FC236}">
                  <a16:creationId xmlns:a16="http://schemas.microsoft.com/office/drawing/2014/main" id="{00000000-0008-0000-0000-0000A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Cough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164</xdr:row>
          <xdr:rowOff>180975</xdr:rowOff>
        </xdr:from>
        <xdr:to>
          <xdr:col>6</xdr:col>
          <xdr:colOff>114300</xdr:colOff>
          <xdr:row>166</xdr:row>
          <xdr:rowOff>19050</xdr:rowOff>
        </xdr:to>
        <xdr:sp macro="" textlink="">
          <xdr:nvSpPr>
            <xdr:cNvPr id="7336" name="Check Box 168" hidden="1">
              <a:extLst>
                <a:ext uri="{63B3BB69-23CF-44E3-9099-C40C66FF867C}">
                  <a14:compatExt spid="_x0000_s7336"/>
                </a:ext>
                <a:ext uri="{FF2B5EF4-FFF2-40B4-BE49-F238E27FC236}">
                  <a16:creationId xmlns:a16="http://schemas.microsoft.com/office/drawing/2014/main" id="{00000000-0008-0000-0000-0000A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Wheezing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165</xdr:row>
          <xdr:rowOff>171450</xdr:rowOff>
        </xdr:from>
        <xdr:to>
          <xdr:col>6</xdr:col>
          <xdr:colOff>114300</xdr:colOff>
          <xdr:row>167</xdr:row>
          <xdr:rowOff>9525</xdr:rowOff>
        </xdr:to>
        <xdr:sp macro="" textlink="">
          <xdr:nvSpPr>
            <xdr:cNvPr id="7337" name="Check Box 169" hidden="1">
              <a:extLst>
                <a:ext uri="{63B3BB69-23CF-44E3-9099-C40C66FF867C}">
                  <a14:compatExt spid="_x0000_s7337"/>
                </a:ext>
                <a:ext uri="{FF2B5EF4-FFF2-40B4-BE49-F238E27FC236}">
                  <a16:creationId xmlns:a16="http://schemas.microsoft.com/office/drawing/2014/main" id="{00000000-0008-0000-0000-0000A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Palpitations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166</xdr:row>
          <xdr:rowOff>171450</xdr:rowOff>
        </xdr:from>
        <xdr:to>
          <xdr:col>6</xdr:col>
          <xdr:colOff>114300</xdr:colOff>
          <xdr:row>168</xdr:row>
          <xdr:rowOff>9525</xdr:rowOff>
        </xdr:to>
        <xdr:sp macro="" textlink="">
          <xdr:nvSpPr>
            <xdr:cNvPr id="7338" name="Check Box 170" hidden="1">
              <a:extLst>
                <a:ext uri="{63B3BB69-23CF-44E3-9099-C40C66FF867C}">
                  <a14:compatExt spid="_x0000_s7338"/>
                </a:ext>
                <a:ext uri="{FF2B5EF4-FFF2-40B4-BE49-F238E27FC236}">
                  <a16:creationId xmlns:a16="http://schemas.microsoft.com/office/drawing/2014/main" id="{00000000-0008-0000-0000-0000A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Tachycardia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167</xdr:row>
          <xdr:rowOff>171450</xdr:rowOff>
        </xdr:from>
        <xdr:to>
          <xdr:col>6</xdr:col>
          <xdr:colOff>114300</xdr:colOff>
          <xdr:row>169</xdr:row>
          <xdr:rowOff>9525</xdr:rowOff>
        </xdr:to>
        <xdr:sp macro="" textlink="">
          <xdr:nvSpPr>
            <xdr:cNvPr id="7339" name="Check Box 171" hidden="1">
              <a:extLst>
                <a:ext uri="{63B3BB69-23CF-44E3-9099-C40C66FF867C}">
                  <a14:compatExt spid="_x0000_s7339"/>
                </a:ext>
                <a:ext uri="{FF2B5EF4-FFF2-40B4-BE49-F238E27FC236}">
                  <a16:creationId xmlns:a16="http://schemas.microsoft.com/office/drawing/2014/main" id="{00000000-0008-0000-0000-0000A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Bradycardia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168</xdr:row>
          <xdr:rowOff>161925</xdr:rowOff>
        </xdr:from>
        <xdr:to>
          <xdr:col>6</xdr:col>
          <xdr:colOff>114300</xdr:colOff>
          <xdr:row>170</xdr:row>
          <xdr:rowOff>0</xdr:rowOff>
        </xdr:to>
        <xdr:sp macro="" textlink="">
          <xdr:nvSpPr>
            <xdr:cNvPr id="7340" name="Check Box 172" hidden="1">
              <a:extLst>
                <a:ext uri="{63B3BB69-23CF-44E3-9099-C40C66FF867C}">
                  <a14:compatExt spid="_x0000_s7340"/>
                </a:ext>
                <a:ext uri="{FF2B5EF4-FFF2-40B4-BE49-F238E27FC236}">
                  <a16:creationId xmlns:a16="http://schemas.microsoft.com/office/drawing/2014/main" id="{00000000-0008-0000-0000-0000A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Hypertension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169</xdr:row>
          <xdr:rowOff>161925</xdr:rowOff>
        </xdr:from>
        <xdr:to>
          <xdr:col>6</xdr:col>
          <xdr:colOff>114300</xdr:colOff>
          <xdr:row>171</xdr:row>
          <xdr:rowOff>0</xdr:rowOff>
        </xdr:to>
        <xdr:sp macro="" textlink="">
          <xdr:nvSpPr>
            <xdr:cNvPr id="7341" name="Check Box 173" hidden="1">
              <a:extLst>
                <a:ext uri="{63B3BB69-23CF-44E3-9099-C40C66FF867C}">
                  <a14:compatExt spid="_x0000_s7341"/>
                </a:ext>
                <a:ext uri="{FF2B5EF4-FFF2-40B4-BE49-F238E27FC236}">
                  <a16:creationId xmlns:a16="http://schemas.microsoft.com/office/drawing/2014/main" id="{00000000-0008-0000-0000-0000A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Hypotension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161</xdr:row>
          <xdr:rowOff>0</xdr:rowOff>
        </xdr:from>
        <xdr:to>
          <xdr:col>9</xdr:col>
          <xdr:colOff>0</xdr:colOff>
          <xdr:row>162</xdr:row>
          <xdr:rowOff>28575</xdr:rowOff>
        </xdr:to>
        <xdr:sp macro="" textlink="">
          <xdr:nvSpPr>
            <xdr:cNvPr id="7342" name="Check Box 174" hidden="1">
              <a:extLst>
                <a:ext uri="{63B3BB69-23CF-44E3-9099-C40C66FF867C}">
                  <a14:compatExt spid="_x0000_s7342"/>
                </a:ext>
                <a:ext uri="{FF2B5EF4-FFF2-40B4-BE49-F238E27FC236}">
                  <a16:creationId xmlns:a16="http://schemas.microsoft.com/office/drawing/2014/main" id="{00000000-0008-0000-0000-0000A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Cognitive Impairment (severe)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161</xdr:row>
          <xdr:rowOff>180975</xdr:rowOff>
        </xdr:from>
        <xdr:to>
          <xdr:col>9</xdr:col>
          <xdr:colOff>0</xdr:colOff>
          <xdr:row>163</xdr:row>
          <xdr:rowOff>19050</xdr:rowOff>
        </xdr:to>
        <xdr:sp macro="" textlink="">
          <xdr:nvSpPr>
            <xdr:cNvPr id="7343" name="Check Box 175" hidden="1">
              <a:extLst>
                <a:ext uri="{63B3BB69-23CF-44E3-9099-C40C66FF867C}">
                  <a14:compatExt spid="_x0000_s7343"/>
                </a:ext>
                <a:ext uri="{FF2B5EF4-FFF2-40B4-BE49-F238E27FC236}">
                  <a16:creationId xmlns:a16="http://schemas.microsoft.com/office/drawing/2014/main" id="{00000000-0008-0000-0000-0000A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Cognitive Impairment (mild)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162</xdr:row>
          <xdr:rowOff>180975</xdr:rowOff>
        </xdr:from>
        <xdr:to>
          <xdr:col>8</xdr:col>
          <xdr:colOff>200025</xdr:colOff>
          <xdr:row>164</xdr:row>
          <xdr:rowOff>19050</xdr:rowOff>
        </xdr:to>
        <xdr:sp macro="" textlink="">
          <xdr:nvSpPr>
            <xdr:cNvPr id="7344" name="Check Box 176" hidden="1">
              <a:extLst>
                <a:ext uri="{63B3BB69-23CF-44E3-9099-C40C66FF867C}">
                  <a14:compatExt spid="_x0000_s7344"/>
                </a:ext>
                <a:ext uri="{FF2B5EF4-FFF2-40B4-BE49-F238E27FC236}">
                  <a16:creationId xmlns:a16="http://schemas.microsoft.com/office/drawing/2014/main" id="{00000000-0008-0000-0000-0000B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Weakness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163</xdr:row>
          <xdr:rowOff>171450</xdr:rowOff>
        </xdr:from>
        <xdr:to>
          <xdr:col>8</xdr:col>
          <xdr:colOff>200025</xdr:colOff>
          <xdr:row>165</xdr:row>
          <xdr:rowOff>9525</xdr:rowOff>
        </xdr:to>
        <xdr:sp macro="" textlink="">
          <xdr:nvSpPr>
            <xdr:cNvPr id="7345" name="Check Box 177" hidden="1">
              <a:extLst>
                <a:ext uri="{63B3BB69-23CF-44E3-9099-C40C66FF867C}">
                  <a14:compatExt spid="_x0000_s7345"/>
                </a:ext>
                <a:ext uri="{FF2B5EF4-FFF2-40B4-BE49-F238E27FC236}">
                  <a16:creationId xmlns:a16="http://schemas.microsoft.com/office/drawing/2014/main" id="{00000000-0008-0000-0000-0000B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Fever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164</xdr:row>
          <xdr:rowOff>171450</xdr:rowOff>
        </xdr:from>
        <xdr:to>
          <xdr:col>8</xdr:col>
          <xdr:colOff>200025</xdr:colOff>
          <xdr:row>166</xdr:row>
          <xdr:rowOff>9525</xdr:rowOff>
        </xdr:to>
        <xdr:sp macro="" textlink="">
          <xdr:nvSpPr>
            <xdr:cNvPr id="7346" name="Check Box 178" hidden="1">
              <a:extLst>
                <a:ext uri="{63B3BB69-23CF-44E3-9099-C40C66FF867C}">
                  <a14:compatExt spid="_x0000_s7346"/>
                </a:ext>
                <a:ext uri="{FF2B5EF4-FFF2-40B4-BE49-F238E27FC236}">
                  <a16:creationId xmlns:a16="http://schemas.microsoft.com/office/drawing/2014/main" id="{00000000-0008-0000-0000-0000B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Anorexia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165</xdr:row>
          <xdr:rowOff>161925</xdr:rowOff>
        </xdr:from>
        <xdr:to>
          <xdr:col>8</xdr:col>
          <xdr:colOff>200025</xdr:colOff>
          <xdr:row>167</xdr:row>
          <xdr:rowOff>0</xdr:rowOff>
        </xdr:to>
        <xdr:sp macro="" textlink="">
          <xdr:nvSpPr>
            <xdr:cNvPr id="7347" name="Check Box 179" hidden="1">
              <a:extLst>
                <a:ext uri="{63B3BB69-23CF-44E3-9099-C40C66FF867C}">
                  <a14:compatExt spid="_x0000_s7347"/>
                </a:ext>
                <a:ext uri="{FF2B5EF4-FFF2-40B4-BE49-F238E27FC236}">
                  <a16:creationId xmlns:a16="http://schemas.microsoft.com/office/drawing/2014/main" id="{00000000-0008-0000-0000-0000B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Adipsia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166</xdr:row>
          <xdr:rowOff>161925</xdr:rowOff>
        </xdr:from>
        <xdr:to>
          <xdr:col>8</xdr:col>
          <xdr:colOff>200025</xdr:colOff>
          <xdr:row>168</xdr:row>
          <xdr:rowOff>0</xdr:rowOff>
        </xdr:to>
        <xdr:sp macro="" textlink="">
          <xdr:nvSpPr>
            <xdr:cNvPr id="7348" name="Check Box 180" hidden="1">
              <a:extLst>
                <a:ext uri="{63B3BB69-23CF-44E3-9099-C40C66FF867C}">
                  <a14:compatExt spid="_x0000_s7348"/>
                </a:ext>
                <a:ext uri="{FF2B5EF4-FFF2-40B4-BE49-F238E27FC236}">
                  <a16:creationId xmlns:a16="http://schemas.microsoft.com/office/drawing/2014/main" id="{00000000-0008-0000-0000-0000B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Agitation/Restlessness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199</xdr:row>
          <xdr:rowOff>0</xdr:rowOff>
        </xdr:from>
        <xdr:to>
          <xdr:col>9</xdr:col>
          <xdr:colOff>0</xdr:colOff>
          <xdr:row>206</xdr:row>
          <xdr:rowOff>0</xdr:rowOff>
        </xdr:to>
        <xdr:sp macro="" textlink="">
          <xdr:nvSpPr>
            <xdr:cNvPr id="7349" name="Group Box 181" hidden="1">
              <a:extLst>
                <a:ext uri="{63B3BB69-23CF-44E3-9099-C40C66FF867C}">
                  <a14:compatExt spid="_x0000_s7349"/>
                </a:ext>
                <a:ext uri="{FF2B5EF4-FFF2-40B4-BE49-F238E27FC236}">
                  <a16:creationId xmlns:a16="http://schemas.microsoft.com/office/drawing/2014/main" id="{00000000-0008-0000-0000-0000B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Memory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201</xdr:row>
          <xdr:rowOff>180975</xdr:rowOff>
        </xdr:from>
        <xdr:to>
          <xdr:col>8</xdr:col>
          <xdr:colOff>0</xdr:colOff>
          <xdr:row>203</xdr:row>
          <xdr:rowOff>0</xdr:rowOff>
        </xdr:to>
        <xdr:sp macro="" textlink="">
          <xdr:nvSpPr>
            <xdr:cNvPr id="7350" name="Drop Down 182" hidden="1">
              <a:extLst>
                <a:ext uri="{63B3BB69-23CF-44E3-9099-C40C66FF867C}">
                  <a14:compatExt spid="_x0000_s7350"/>
                </a:ext>
                <a:ext uri="{FF2B5EF4-FFF2-40B4-BE49-F238E27FC236}">
                  <a16:creationId xmlns:a16="http://schemas.microsoft.com/office/drawing/2014/main" id="{00000000-0008-0000-0000-0000B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187</xdr:row>
          <xdr:rowOff>0</xdr:rowOff>
        </xdr:from>
        <xdr:to>
          <xdr:col>7</xdr:col>
          <xdr:colOff>0</xdr:colOff>
          <xdr:row>198</xdr:row>
          <xdr:rowOff>0</xdr:rowOff>
        </xdr:to>
        <xdr:sp macro="" textlink="">
          <xdr:nvSpPr>
            <xdr:cNvPr id="7352" name="Group Box 184" hidden="1">
              <a:extLst>
                <a:ext uri="{63B3BB69-23CF-44E3-9099-C40C66FF867C}">
                  <a14:compatExt spid="_x0000_s7352"/>
                </a:ext>
                <a:ext uri="{FF2B5EF4-FFF2-40B4-BE49-F238E27FC236}">
                  <a16:creationId xmlns:a16="http://schemas.microsoft.com/office/drawing/2014/main" id="{00000000-0008-0000-0000-0000B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Glasgow Coma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195</xdr:row>
          <xdr:rowOff>0</xdr:rowOff>
        </xdr:from>
        <xdr:to>
          <xdr:col>3</xdr:col>
          <xdr:colOff>400050</xdr:colOff>
          <xdr:row>196</xdr:row>
          <xdr:rowOff>0</xdr:rowOff>
        </xdr:to>
        <xdr:sp macro="" textlink="">
          <xdr:nvSpPr>
            <xdr:cNvPr id="7353" name="Label 185" hidden="1">
              <a:extLst>
                <a:ext uri="{63B3BB69-23CF-44E3-9099-C40C66FF867C}">
                  <a14:compatExt spid="_x0000_s7353"/>
                </a:ext>
                <a:ext uri="{FF2B5EF4-FFF2-40B4-BE49-F238E27FC236}">
                  <a16:creationId xmlns:a16="http://schemas.microsoft.com/office/drawing/2014/main" id="{00000000-0008-0000-0000-0000B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Score: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207</xdr:row>
          <xdr:rowOff>0</xdr:rowOff>
        </xdr:from>
        <xdr:to>
          <xdr:col>5</xdr:col>
          <xdr:colOff>0</xdr:colOff>
          <xdr:row>214</xdr:row>
          <xdr:rowOff>0</xdr:rowOff>
        </xdr:to>
        <xdr:sp macro="" textlink="">
          <xdr:nvSpPr>
            <xdr:cNvPr id="7354" name="Group Box 186" hidden="1">
              <a:extLst>
                <a:ext uri="{63B3BB69-23CF-44E3-9099-C40C66FF867C}">
                  <a14:compatExt spid="_x0000_s7354"/>
                </a:ext>
                <a:ext uri="{FF2B5EF4-FFF2-40B4-BE49-F238E27FC236}">
                  <a16:creationId xmlns:a16="http://schemas.microsoft.com/office/drawing/2014/main" id="{00000000-0008-0000-0000-0000B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Orientation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7367" name="Group Box 199" hidden="1">
              <a:extLst>
                <a:ext uri="{63B3BB69-23CF-44E3-9099-C40C66FF867C}">
                  <a14:compatExt spid="_x0000_s7367"/>
                </a:ext>
                <a:ext uri="{FF2B5EF4-FFF2-40B4-BE49-F238E27FC236}">
                  <a16:creationId xmlns:a16="http://schemas.microsoft.com/office/drawing/2014/main" id="{00000000-0008-0000-0000-0000C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Patient Demographics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0</xdr:rowOff>
        </xdr:from>
        <xdr:to>
          <xdr:col>10</xdr:col>
          <xdr:colOff>0</xdr:colOff>
          <xdr:row>82</xdr:row>
          <xdr:rowOff>0</xdr:rowOff>
        </xdr:to>
        <xdr:sp macro="" textlink="">
          <xdr:nvSpPr>
            <xdr:cNvPr id="7368" name="Group Box 200" hidden="1">
              <a:extLst>
                <a:ext uri="{63B3BB69-23CF-44E3-9099-C40C66FF867C}">
                  <a14:compatExt spid="_x0000_s7368"/>
                </a:ext>
                <a:ext uri="{FF2B5EF4-FFF2-40B4-BE49-F238E27FC236}">
                  <a16:creationId xmlns:a16="http://schemas.microsoft.com/office/drawing/2014/main" id="{00000000-0008-0000-0000-0000C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Pre-Experience Evaluation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190500</xdr:rowOff>
        </xdr:from>
        <xdr:to>
          <xdr:col>10</xdr:col>
          <xdr:colOff>0</xdr:colOff>
          <xdr:row>158</xdr:row>
          <xdr:rowOff>0</xdr:rowOff>
        </xdr:to>
        <xdr:sp macro="" textlink="">
          <xdr:nvSpPr>
            <xdr:cNvPr id="7369" name="Group Box 201" hidden="1">
              <a:extLst>
                <a:ext uri="{63B3BB69-23CF-44E3-9099-C40C66FF867C}">
                  <a14:compatExt spid="_x0000_s7369"/>
                </a:ext>
                <a:ext uri="{FF2B5EF4-FFF2-40B4-BE49-F238E27FC236}">
                  <a16:creationId xmlns:a16="http://schemas.microsoft.com/office/drawing/2014/main" id="{00000000-0008-0000-0000-0000C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Experience Evaluation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159</xdr:row>
          <xdr:rowOff>0</xdr:rowOff>
        </xdr:from>
        <xdr:to>
          <xdr:col>10</xdr:col>
          <xdr:colOff>0</xdr:colOff>
          <xdr:row>215</xdr:row>
          <xdr:rowOff>0</xdr:rowOff>
        </xdr:to>
        <xdr:sp macro="" textlink="">
          <xdr:nvSpPr>
            <xdr:cNvPr id="7370" name="Group Box 202" hidden="1">
              <a:extLst>
                <a:ext uri="{63B3BB69-23CF-44E3-9099-C40C66FF867C}">
                  <a14:compatExt spid="_x0000_s7370"/>
                </a:ext>
                <a:ext uri="{FF2B5EF4-FFF2-40B4-BE49-F238E27FC236}">
                  <a16:creationId xmlns:a16="http://schemas.microsoft.com/office/drawing/2014/main" id="{00000000-0008-0000-0000-0000C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Post-Experience Evaluation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200</xdr:row>
          <xdr:rowOff>0</xdr:rowOff>
        </xdr:from>
        <xdr:to>
          <xdr:col>3</xdr:col>
          <xdr:colOff>400050</xdr:colOff>
          <xdr:row>201</xdr:row>
          <xdr:rowOff>0</xdr:rowOff>
        </xdr:to>
        <xdr:sp macro="" textlink="">
          <xdr:nvSpPr>
            <xdr:cNvPr id="7374" name="Label 206" hidden="1">
              <a:extLst>
                <a:ext uri="{63B3BB69-23CF-44E3-9099-C40C66FF867C}">
                  <a14:compatExt spid="_x0000_s7374"/>
                </a:ext>
                <a:ext uri="{FF2B5EF4-FFF2-40B4-BE49-F238E27FC236}">
                  <a16:creationId xmlns:a16="http://schemas.microsoft.com/office/drawing/2014/main" id="{00000000-0008-0000-0000-0000C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Long Term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202</xdr:row>
          <xdr:rowOff>9525</xdr:rowOff>
        </xdr:from>
        <xdr:to>
          <xdr:col>3</xdr:col>
          <xdr:colOff>0</xdr:colOff>
          <xdr:row>203</xdr:row>
          <xdr:rowOff>9525</xdr:rowOff>
        </xdr:to>
        <xdr:sp macro="" textlink="">
          <xdr:nvSpPr>
            <xdr:cNvPr id="7375" name="Label 207" hidden="1">
              <a:extLst>
                <a:ext uri="{63B3BB69-23CF-44E3-9099-C40C66FF867C}">
                  <a14:compatExt spid="_x0000_s7375"/>
                </a:ext>
                <a:ext uri="{FF2B5EF4-FFF2-40B4-BE49-F238E27FC236}">
                  <a16:creationId xmlns:a16="http://schemas.microsoft.com/office/drawing/2014/main" id="{00000000-0008-0000-0000-0000C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Short Term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204</xdr:row>
          <xdr:rowOff>0</xdr:rowOff>
        </xdr:from>
        <xdr:to>
          <xdr:col>3</xdr:col>
          <xdr:colOff>400050</xdr:colOff>
          <xdr:row>205</xdr:row>
          <xdr:rowOff>0</xdr:rowOff>
        </xdr:to>
        <xdr:sp macro="" textlink="">
          <xdr:nvSpPr>
            <xdr:cNvPr id="7376" name="Label 208" hidden="1">
              <a:extLst>
                <a:ext uri="{63B3BB69-23CF-44E3-9099-C40C66FF867C}">
                  <a14:compatExt spid="_x0000_s7376"/>
                </a:ext>
                <a:ext uri="{FF2B5EF4-FFF2-40B4-BE49-F238E27FC236}">
                  <a16:creationId xmlns:a16="http://schemas.microsoft.com/office/drawing/2014/main" id="{00000000-0008-0000-0000-0000D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Recall Speed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184</xdr:row>
          <xdr:rowOff>0</xdr:rowOff>
        </xdr:from>
        <xdr:to>
          <xdr:col>5</xdr:col>
          <xdr:colOff>266700</xdr:colOff>
          <xdr:row>185</xdr:row>
          <xdr:rowOff>0</xdr:rowOff>
        </xdr:to>
        <xdr:sp macro="" textlink="">
          <xdr:nvSpPr>
            <xdr:cNvPr id="7384" name="Drop Down 216" hidden="1">
              <a:extLst>
                <a:ext uri="{63B3BB69-23CF-44E3-9099-C40C66FF867C}">
                  <a14:compatExt spid="_x0000_s7384"/>
                </a:ext>
                <a:ext uri="{FF2B5EF4-FFF2-40B4-BE49-F238E27FC236}">
                  <a16:creationId xmlns:a16="http://schemas.microsoft.com/office/drawing/2014/main" id="{00000000-0008-0000-0000-0000D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0</xdr:rowOff>
        </xdr:from>
        <xdr:to>
          <xdr:col>6</xdr:col>
          <xdr:colOff>0</xdr:colOff>
          <xdr:row>54</xdr:row>
          <xdr:rowOff>0</xdr:rowOff>
        </xdr:to>
        <xdr:sp macro="" textlink="">
          <xdr:nvSpPr>
            <xdr:cNvPr id="7385" name="Group Box 217" hidden="1">
              <a:extLst>
                <a:ext uri="{63B3BB69-23CF-44E3-9099-C40C66FF867C}">
                  <a14:compatExt spid="_x0000_s7385"/>
                </a:ext>
                <a:ext uri="{FF2B5EF4-FFF2-40B4-BE49-F238E27FC236}">
                  <a16:creationId xmlns:a16="http://schemas.microsoft.com/office/drawing/2014/main" id="{00000000-0008-0000-0000-0000D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Level of Interaction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183</xdr:row>
          <xdr:rowOff>0</xdr:rowOff>
        </xdr:from>
        <xdr:to>
          <xdr:col>6</xdr:col>
          <xdr:colOff>0</xdr:colOff>
          <xdr:row>186</xdr:row>
          <xdr:rowOff>0</xdr:rowOff>
        </xdr:to>
        <xdr:sp macro="" textlink="">
          <xdr:nvSpPr>
            <xdr:cNvPr id="7390" name="Group Box 222" hidden="1">
              <a:extLst>
                <a:ext uri="{63B3BB69-23CF-44E3-9099-C40C66FF867C}">
                  <a14:compatExt spid="_x0000_s7390"/>
                </a:ext>
                <a:ext uri="{FF2B5EF4-FFF2-40B4-BE49-F238E27FC236}">
                  <a16:creationId xmlns:a16="http://schemas.microsoft.com/office/drawing/2014/main" id="{00000000-0008-0000-0000-0000D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Level of Interaction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</xdr:row>
          <xdr:rowOff>66675</xdr:rowOff>
        </xdr:from>
        <xdr:to>
          <xdr:col>11</xdr:col>
          <xdr:colOff>323850</xdr:colOff>
          <xdr:row>4</xdr:row>
          <xdr:rowOff>76200</xdr:rowOff>
        </xdr:to>
        <xdr:sp macro="" textlink="">
          <xdr:nvSpPr>
            <xdr:cNvPr id="7391" name="Drop Down 223" hidden="1">
              <a:extLst>
                <a:ext uri="{63B3BB69-23CF-44E3-9099-C40C66FF867C}">
                  <a14:compatExt spid="_x0000_s7391"/>
                </a:ext>
                <a:ext uri="{FF2B5EF4-FFF2-40B4-BE49-F238E27FC236}">
                  <a16:creationId xmlns:a16="http://schemas.microsoft.com/office/drawing/2014/main" id="{00000000-0008-0000-0000-0000D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4</xdr:row>
          <xdr:rowOff>142875</xdr:rowOff>
        </xdr:from>
        <xdr:to>
          <xdr:col>11</xdr:col>
          <xdr:colOff>314325</xdr:colOff>
          <xdr:row>6</xdr:row>
          <xdr:rowOff>142875</xdr:rowOff>
        </xdr:to>
        <xdr:sp macro="" textlink="">
          <xdr:nvSpPr>
            <xdr:cNvPr id="7392" name="Button 224" hidden="1">
              <a:extLst>
                <a:ext uri="{63B3BB69-23CF-44E3-9099-C40C66FF867C}">
                  <a14:compatExt spid="_x0000_s7392"/>
                </a:ext>
                <a:ext uri="{FF2B5EF4-FFF2-40B4-BE49-F238E27FC236}">
                  <a16:creationId xmlns:a16="http://schemas.microsoft.com/office/drawing/2014/main" id="{00000000-0008-0000-0000-0000E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Existing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123</xdr:row>
          <xdr:rowOff>0</xdr:rowOff>
        </xdr:from>
        <xdr:to>
          <xdr:col>6</xdr:col>
          <xdr:colOff>0</xdr:colOff>
          <xdr:row>126</xdr:row>
          <xdr:rowOff>0</xdr:rowOff>
        </xdr:to>
        <xdr:sp macro="" textlink="">
          <xdr:nvSpPr>
            <xdr:cNvPr id="7447" name="Group Box 279" hidden="1">
              <a:extLst>
                <a:ext uri="{63B3BB69-23CF-44E3-9099-C40C66FF867C}">
                  <a14:compatExt spid="_x0000_s7447"/>
                </a:ext>
                <a:ext uri="{FF2B5EF4-FFF2-40B4-BE49-F238E27FC236}">
                  <a16:creationId xmlns:a16="http://schemas.microsoft.com/office/drawing/2014/main" id="{00000000-0008-0000-0000-000017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Mobility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219075</xdr:colOff>
          <xdr:row>124</xdr:row>
          <xdr:rowOff>0</xdr:rowOff>
        </xdr:from>
        <xdr:to>
          <xdr:col>5</xdr:col>
          <xdr:colOff>0</xdr:colOff>
          <xdr:row>125</xdr:row>
          <xdr:rowOff>0</xdr:rowOff>
        </xdr:to>
        <xdr:sp macro="" textlink="">
          <xdr:nvSpPr>
            <xdr:cNvPr id="7448" name="Drop Down 280" hidden="1">
              <a:extLst>
                <a:ext uri="{63B3BB69-23CF-44E3-9099-C40C66FF867C}">
                  <a14:compatExt spid="_x0000_s7448"/>
                </a:ext>
                <a:ext uri="{FF2B5EF4-FFF2-40B4-BE49-F238E27FC236}">
                  <a16:creationId xmlns:a16="http://schemas.microsoft.com/office/drawing/2014/main" id="{00000000-0008-0000-0000-000018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117</xdr:row>
          <xdr:rowOff>0</xdr:rowOff>
        </xdr:from>
        <xdr:to>
          <xdr:col>8</xdr:col>
          <xdr:colOff>0</xdr:colOff>
          <xdr:row>122</xdr:row>
          <xdr:rowOff>0</xdr:rowOff>
        </xdr:to>
        <xdr:sp macro="" textlink="">
          <xdr:nvSpPr>
            <xdr:cNvPr id="7449" name="Group Box 281" hidden="1">
              <a:extLst>
                <a:ext uri="{63B3BB69-23CF-44E3-9099-C40C66FF867C}">
                  <a14:compatExt spid="_x0000_s7449"/>
                </a:ext>
                <a:ext uri="{FF2B5EF4-FFF2-40B4-BE49-F238E27FC236}">
                  <a16:creationId xmlns:a16="http://schemas.microsoft.com/office/drawing/2014/main" id="{00000000-0008-0000-0000-000019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Notable Lab Results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132</xdr:row>
          <xdr:rowOff>0</xdr:rowOff>
        </xdr:from>
        <xdr:to>
          <xdr:col>3</xdr:col>
          <xdr:colOff>400050</xdr:colOff>
          <xdr:row>133</xdr:row>
          <xdr:rowOff>0</xdr:rowOff>
        </xdr:to>
        <xdr:sp macro="" textlink="">
          <xdr:nvSpPr>
            <xdr:cNvPr id="7450" name="Label 282" hidden="1">
              <a:extLst>
                <a:ext uri="{63B3BB69-23CF-44E3-9099-C40C66FF867C}">
                  <a14:compatExt spid="_x0000_s7450"/>
                </a:ext>
                <a:ext uri="{FF2B5EF4-FFF2-40B4-BE49-F238E27FC236}">
                  <a16:creationId xmlns:a16="http://schemas.microsoft.com/office/drawing/2014/main" id="{00000000-0008-0000-0000-00001A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Eye Opening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134</xdr:row>
          <xdr:rowOff>0</xdr:rowOff>
        </xdr:from>
        <xdr:to>
          <xdr:col>3</xdr:col>
          <xdr:colOff>0</xdr:colOff>
          <xdr:row>135</xdr:row>
          <xdr:rowOff>0</xdr:rowOff>
        </xdr:to>
        <xdr:sp macro="" textlink="">
          <xdr:nvSpPr>
            <xdr:cNvPr id="7451" name="Label 283" hidden="1">
              <a:extLst>
                <a:ext uri="{63B3BB69-23CF-44E3-9099-C40C66FF867C}">
                  <a14:compatExt spid="_x0000_s7451"/>
                </a:ext>
                <a:ext uri="{FF2B5EF4-FFF2-40B4-BE49-F238E27FC236}">
                  <a16:creationId xmlns:a16="http://schemas.microsoft.com/office/drawing/2014/main" id="{00000000-0008-0000-0000-00001B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Verbal Response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136</xdr:row>
          <xdr:rowOff>0</xdr:rowOff>
        </xdr:from>
        <xdr:to>
          <xdr:col>3</xdr:col>
          <xdr:colOff>400050</xdr:colOff>
          <xdr:row>137</xdr:row>
          <xdr:rowOff>0</xdr:rowOff>
        </xdr:to>
        <xdr:sp macro="" textlink="">
          <xdr:nvSpPr>
            <xdr:cNvPr id="7452" name="Label 284" hidden="1">
              <a:extLst>
                <a:ext uri="{63B3BB69-23CF-44E3-9099-C40C66FF867C}">
                  <a14:compatExt spid="_x0000_s7452"/>
                </a:ext>
                <a:ext uri="{FF2B5EF4-FFF2-40B4-BE49-F238E27FC236}">
                  <a16:creationId xmlns:a16="http://schemas.microsoft.com/office/drawing/2014/main" id="{00000000-0008-0000-0000-00001C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Motor Response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132</xdr:row>
          <xdr:rowOff>0</xdr:rowOff>
        </xdr:from>
        <xdr:to>
          <xdr:col>6</xdr:col>
          <xdr:colOff>0</xdr:colOff>
          <xdr:row>133</xdr:row>
          <xdr:rowOff>0</xdr:rowOff>
        </xdr:to>
        <xdr:sp macro="" textlink="">
          <xdr:nvSpPr>
            <xdr:cNvPr id="7453" name="Drop Down 285" hidden="1">
              <a:extLst>
                <a:ext uri="{63B3BB69-23CF-44E3-9099-C40C66FF867C}">
                  <a14:compatExt spid="_x0000_s7453"/>
                </a:ext>
                <a:ext uri="{FF2B5EF4-FFF2-40B4-BE49-F238E27FC236}">
                  <a16:creationId xmlns:a16="http://schemas.microsoft.com/office/drawing/2014/main" id="{00000000-0008-0000-0000-00001D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133</xdr:row>
          <xdr:rowOff>180975</xdr:rowOff>
        </xdr:from>
        <xdr:to>
          <xdr:col>6</xdr:col>
          <xdr:colOff>0</xdr:colOff>
          <xdr:row>135</xdr:row>
          <xdr:rowOff>0</xdr:rowOff>
        </xdr:to>
        <xdr:sp macro="" textlink="">
          <xdr:nvSpPr>
            <xdr:cNvPr id="7454" name="Drop Down 286" hidden="1">
              <a:extLst>
                <a:ext uri="{63B3BB69-23CF-44E3-9099-C40C66FF867C}">
                  <a14:compatExt spid="_x0000_s7454"/>
                </a:ext>
                <a:ext uri="{FF2B5EF4-FFF2-40B4-BE49-F238E27FC236}">
                  <a16:creationId xmlns:a16="http://schemas.microsoft.com/office/drawing/2014/main" id="{00000000-0008-0000-0000-00001E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135</xdr:row>
          <xdr:rowOff>180975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7455" name="Drop Down 287" hidden="1">
              <a:extLst>
                <a:ext uri="{63B3BB69-23CF-44E3-9099-C40C66FF867C}">
                  <a14:compatExt spid="_x0000_s7455"/>
                </a:ext>
                <a:ext uri="{FF2B5EF4-FFF2-40B4-BE49-F238E27FC236}">
                  <a16:creationId xmlns:a16="http://schemas.microsoft.com/office/drawing/2014/main" id="{00000000-0008-0000-0000-00001F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143</xdr:row>
          <xdr:rowOff>0</xdr:rowOff>
        </xdr:from>
        <xdr:to>
          <xdr:col>3</xdr:col>
          <xdr:colOff>400050</xdr:colOff>
          <xdr:row>144</xdr:row>
          <xdr:rowOff>0</xdr:rowOff>
        </xdr:to>
        <xdr:sp macro="" textlink="">
          <xdr:nvSpPr>
            <xdr:cNvPr id="7457" name="Label 289" hidden="1">
              <a:extLst>
                <a:ext uri="{63B3BB69-23CF-44E3-9099-C40C66FF867C}">
                  <a14:compatExt spid="_x0000_s7457"/>
                </a:ext>
                <a:ext uri="{FF2B5EF4-FFF2-40B4-BE49-F238E27FC236}">
                  <a16:creationId xmlns:a16="http://schemas.microsoft.com/office/drawing/2014/main" id="{00000000-0008-0000-0000-000021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Long Term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145</xdr:row>
          <xdr:rowOff>9525</xdr:rowOff>
        </xdr:from>
        <xdr:to>
          <xdr:col>3</xdr:col>
          <xdr:colOff>0</xdr:colOff>
          <xdr:row>146</xdr:row>
          <xdr:rowOff>9525</xdr:rowOff>
        </xdr:to>
        <xdr:sp macro="" textlink="">
          <xdr:nvSpPr>
            <xdr:cNvPr id="7458" name="Label 290" hidden="1">
              <a:extLst>
                <a:ext uri="{63B3BB69-23CF-44E3-9099-C40C66FF867C}">
                  <a14:compatExt spid="_x0000_s7458"/>
                </a:ext>
                <a:ext uri="{FF2B5EF4-FFF2-40B4-BE49-F238E27FC236}">
                  <a16:creationId xmlns:a16="http://schemas.microsoft.com/office/drawing/2014/main" id="{00000000-0008-0000-0000-000022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Short Term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147</xdr:row>
          <xdr:rowOff>0</xdr:rowOff>
        </xdr:from>
        <xdr:to>
          <xdr:col>3</xdr:col>
          <xdr:colOff>400050</xdr:colOff>
          <xdr:row>148</xdr:row>
          <xdr:rowOff>0</xdr:rowOff>
        </xdr:to>
        <xdr:sp macro="" textlink="">
          <xdr:nvSpPr>
            <xdr:cNvPr id="7459" name="Label 291" hidden="1">
              <a:extLst>
                <a:ext uri="{63B3BB69-23CF-44E3-9099-C40C66FF867C}">
                  <a14:compatExt spid="_x0000_s7459"/>
                </a:ext>
                <a:ext uri="{FF2B5EF4-FFF2-40B4-BE49-F238E27FC236}">
                  <a16:creationId xmlns:a16="http://schemas.microsoft.com/office/drawing/2014/main" id="{00000000-0008-0000-0000-000023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Recall Speed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143</xdr:row>
          <xdr:rowOff>0</xdr:rowOff>
        </xdr:from>
        <xdr:to>
          <xdr:col>8</xdr:col>
          <xdr:colOff>0</xdr:colOff>
          <xdr:row>144</xdr:row>
          <xdr:rowOff>0</xdr:rowOff>
        </xdr:to>
        <xdr:sp macro="" textlink="">
          <xdr:nvSpPr>
            <xdr:cNvPr id="7460" name="Drop Down 292" hidden="1">
              <a:extLst>
                <a:ext uri="{63B3BB69-23CF-44E3-9099-C40C66FF867C}">
                  <a14:compatExt spid="_x0000_s7460"/>
                </a:ext>
                <a:ext uri="{FF2B5EF4-FFF2-40B4-BE49-F238E27FC236}">
                  <a16:creationId xmlns:a16="http://schemas.microsoft.com/office/drawing/2014/main" id="{00000000-0008-0000-0000-000024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146</xdr:row>
          <xdr:rowOff>180975</xdr:rowOff>
        </xdr:from>
        <xdr:to>
          <xdr:col>8</xdr:col>
          <xdr:colOff>0</xdr:colOff>
          <xdr:row>148</xdr:row>
          <xdr:rowOff>0</xdr:rowOff>
        </xdr:to>
        <xdr:sp macro="" textlink="">
          <xdr:nvSpPr>
            <xdr:cNvPr id="7461" name="Drop Down 293" hidden="1">
              <a:extLst>
                <a:ext uri="{63B3BB69-23CF-44E3-9099-C40C66FF867C}">
                  <a14:compatExt spid="_x0000_s7461"/>
                </a:ext>
                <a:ext uri="{FF2B5EF4-FFF2-40B4-BE49-F238E27FC236}">
                  <a16:creationId xmlns:a16="http://schemas.microsoft.com/office/drawing/2014/main" id="{00000000-0008-0000-0000-000025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151</xdr:row>
          <xdr:rowOff>0</xdr:rowOff>
        </xdr:from>
        <xdr:to>
          <xdr:col>3</xdr:col>
          <xdr:colOff>400050</xdr:colOff>
          <xdr:row>152</xdr:row>
          <xdr:rowOff>28575</xdr:rowOff>
        </xdr:to>
        <xdr:sp macro="" textlink="">
          <xdr:nvSpPr>
            <xdr:cNvPr id="7462" name="Check Box 294" hidden="1">
              <a:extLst>
                <a:ext uri="{63B3BB69-23CF-44E3-9099-C40C66FF867C}">
                  <a14:compatExt spid="_x0000_s7462"/>
                </a:ext>
                <a:ext uri="{FF2B5EF4-FFF2-40B4-BE49-F238E27FC236}">
                  <a16:creationId xmlns:a16="http://schemas.microsoft.com/office/drawing/2014/main" id="{00000000-0008-0000-0000-000026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Person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152</xdr:row>
          <xdr:rowOff>0</xdr:rowOff>
        </xdr:from>
        <xdr:to>
          <xdr:col>3</xdr:col>
          <xdr:colOff>200025</xdr:colOff>
          <xdr:row>153</xdr:row>
          <xdr:rowOff>28575</xdr:rowOff>
        </xdr:to>
        <xdr:sp macro="" textlink="">
          <xdr:nvSpPr>
            <xdr:cNvPr id="7463" name="Check Box 295" hidden="1">
              <a:extLst>
                <a:ext uri="{63B3BB69-23CF-44E3-9099-C40C66FF867C}">
                  <a14:compatExt spid="_x0000_s7463"/>
                </a:ext>
                <a:ext uri="{FF2B5EF4-FFF2-40B4-BE49-F238E27FC236}">
                  <a16:creationId xmlns:a16="http://schemas.microsoft.com/office/drawing/2014/main" id="{00000000-0008-0000-0000-000027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Place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153</xdr:row>
          <xdr:rowOff>0</xdr:rowOff>
        </xdr:from>
        <xdr:to>
          <xdr:col>3</xdr:col>
          <xdr:colOff>400050</xdr:colOff>
          <xdr:row>154</xdr:row>
          <xdr:rowOff>28575</xdr:rowOff>
        </xdr:to>
        <xdr:sp macro="" textlink="">
          <xdr:nvSpPr>
            <xdr:cNvPr id="7464" name="Check Box 296" hidden="1">
              <a:extLst>
                <a:ext uri="{63B3BB69-23CF-44E3-9099-C40C66FF867C}">
                  <a14:compatExt spid="_x0000_s7464"/>
                </a:ext>
                <a:ext uri="{FF2B5EF4-FFF2-40B4-BE49-F238E27FC236}">
                  <a16:creationId xmlns:a16="http://schemas.microsoft.com/office/drawing/2014/main" id="{00000000-0008-0000-0000-000028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154</xdr:row>
          <xdr:rowOff>0</xdr:rowOff>
        </xdr:from>
        <xdr:to>
          <xdr:col>3</xdr:col>
          <xdr:colOff>400050</xdr:colOff>
          <xdr:row>155</xdr:row>
          <xdr:rowOff>28575</xdr:rowOff>
        </xdr:to>
        <xdr:sp macro="" textlink="">
          <xdr:nvSpPr>
            <xdr:cNvPr id="7465" name="Check Box 297" hidden="1">
              <a:extLst>
                <a:ext uri="{63B3BB69-23CF-44E3-9099-C40C66FF867C}">
                  <a14:compatExt spid="_x0000_s7465"/>
                </a:ext>
                <a:ext uri="{FF2B5EF4-FFF2-40B4-BE49-F238E27FC236}">
                  <a16:creationId xmlns:a16="http://schemas.microsoft.com/office/drawing/2014/main" id="{00000000-0008-0000-0000-000029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Event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104</xdr:row>
          <xdr:rowOff>0</xdr:rowOff>
        </xdr:from>
        <xdr:to>
          <xdr:col>9</xdr:col>
          <xdr:colOff>0</xdr:colOff>
          <xdr:row>116</xdr:row>
          <xdr:rowOff>0</xdr:rowOff>
        </xdr:to>
        <xdr:sp macro="" textlink="">
          <xdr:nvSpPr>
            <xdr:cNvPr id="7466" name="Group Box 298" hidden="1">
              <a:extLst>
                <a:ext uri="{63B3BB69-23CF-44E3-9099-C40C66FF867C}">
                  <a14:compatExt spid="_x0000_s7466"/>
                </a:ext>
                <a:ext uri="{FF2B5EF4-FFF2-40B4-BE49-F238E27FC236}">
                  <a16:creationId xmlns:a16="http://schemas.microsoft.com/office/drawing/2014/main" id="{00000000-0008-0000-0000-00002A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Symptoms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105</xdr:row>
          <xdr:rowOff>0</xdr:rowOff>
        </xdr:from>
        <xdr:to>
          <xdr:col>3</xdr:col>
          <xdr:colOff>581025</xdr:colOff>
          <xdr:row>106</xdr:row>
          <xdr:rowOff>28575</xdr:rowOff>
        </xdr:to>
        <xdr:sp macro="" textlink="">
          <xdr:nvSpPr>
            <xdr:cNvPr id="7467" name="Check Box 299" hidden="1">
              <a:extLst>
                <a:ext uri="{63B3BB69-23CF-44E3-9099-C40C66FF867C}">
                  <a14:compatExt spid="_x0000_s7467"/>
                </a:ext>
                <a:ext uri="{FF2B5EF4-FFF2-40B4-BE49-F238E27FC236}">
                  <a16:creationId xmlns:a16="http://schemas.microsoft.com/office/drawing/2014/main" id="{00000000-0008-0000-0000-00002B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Pain - Generalized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106</xdr:row>
          <xdr:rowOff>0</xdr:rowOff>
        </xdr:from>
        <xdr:to>
          <xdr:col>3</xdr:col>
          <xdr:colOff>581025</xdr:colOff>
          <xdr:row>107</xdr:row>
          <xdr:rowOff>28575</xdr:rowOff>
        </xdr:to>
        <xdr:sp macro="" textlink="">
          <xdr:nvSpPr>
            <xdr:cNvPr id="7468" name="Check Box 300" hidden="1">
              <a:extLst>
                <a:ext uri="{63B3BB69-23CF-44E3-9099-C40C66FF867C}">
                  <a14:compatExt spid="_x0000_s7468"/>
                </a:ext>
                <a:ext uri="{FF2B5EF4-FFF2-40B4-BE49-F238E27FC236}">
                  <a16:creationId xmlns:a16="http://schemas.microsoft.com/office/drawing/2014/main" id="{00000000-0008-0000-0000-00002C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Pain - Localized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106</xdr:row>
          <xdr:rowOff>180975</xdr:rowOff>
        </xdr:from>
        <xdr:to>
          <xdr:col>3</xdr:col>
          <xdr:colOff>581025</xdr:colOff>
          <xdr:row>108</xdr:row>
          <xdr:rowOff>19050</xdr:rowOff>
        </xdr:to>
        <xdr:sp macro="" textlink="">
          <xdr:nvSpPr>
            <xdr:cNvPr id="7469" name="Check Box 301" hidden="1">
              <a:extLst>
                <a:ext uri="{63B3BB69-23CF-44E3-9099-C40C66FF867C}">
                  <a14:compatExt spid="_x0000_s7469"/>
                </a:ext>
                <a:ext uri="{FF2B5EF4-FFF2-40B4-BE49-F238E27FC236}">
                  <a16:creationId xmlns:a16="http://schemas.microsoft.com/office/drawing/2014/main" id="{00000000-0008-0000-0000-00002D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Incontinence of 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107</xdr:row>
          <xdr:rowOff>180975</xdr:rowOff>
        </xdr:from>
        <xdr:to>
          <xdr:col>3</xdr:col>
          <xdr:colOff>581025</xdr:colOff>
          <xdr:row>109</xdr:row>
          <xdr:rowOff>19050</xdr:rowOff>
        </xdr:to>
        <xdr:sp macro="" textlink="">
          <xdr:nvSpPr>
            <xdr:cNvPr id="7470" name="Check Box 302" hidden="1">
              <a:extLst>
                <a:ext uri="{63B3BB69-23CF-44E3-9099-C40C66FF867C}">
                  <a14:compatExt spid="_x0000_s7470"/>
                </a:ext>
                <a:ext uri="{FF2B5EF4-FFF2-40B4-BE49-F238E27FC236}">
                  <a16:creationId xmlns:a16="http://schemas.microsoft.com/office/drawing/2014/main" id="{00000000-0008-0000-0000-00002E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Incontinence of Bowels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108</xdr:row>
          <xdr:rowOff>180975</xdr:rowOff>
        </xdr:from>
        <xdr:to>
          <xdr:col>3</xdr:col>
          <xdr:colOff>581025</xdr:colOff>
          <xdr:row>110</xdr:row>
          <xdr:rowOff>19050</xdr:rowOff>
        </xdr:to>
        <xdr:sp macro="" textlink="">
          <xdr:nvSpPr>
            <xdr:cNvPr id="7471" name="Check Box 303" hidden="1">
              <a:extLst>
                <a:ext uri="{63B3BB69-23CF-44E3-9099-C40C66FF867C}">
                  <a14:compatExt spid="_x0000_s7471"/>
                </a:ext>
                <a:ext uri="{FF2B5EF4-FFF2-40B4-BE49-F238E27FC236}">
                  <a16:creationId xmlns:a16="http://schemas.microsoft.com/office/drawing/2014/main" id="{00000000-0008-0000-0000-00002F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Urinary Retention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109</xdr:row>
          <xdr:rowOff>171450</xdr:rowOff>
        </xdr:from>
        <xdr:to>
          <xdr:col>3</xdr:col>
          <xdr:colOff>581025</xdr:colOff>
          <xdr:row>111</xdr:row>
          <xdr:rowOff>9525</xdr:rowOff>
        </xdr:to>
        <xdr:sp macro="" textlink="">
          <xdr:nvSpPr>
            <xdr:cNvPr id="7472" name="Check Box 304" hidden="1">
              <a:extLst>
                <a:ext uri="{63B3BB69-23CF-44E3-9099-C40C66FF867C}">
                  <a14:compatExt spid="_x0000_s7472"/>
                </a:ext>
                <a:ext uri="{FF2B5EF4-FFF2-40B4-BE49-F238E27FC236}">
                  <a16:creationId xmlns:a16="http://schemas.microsoft.com/office/drawing/2014/main" id="{00000000-0008-0000-0000-000030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Nausea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110</xdr:row>
          <xdr:rowOff>171450</xdr:rowOff>
        </xdr:from>
        <xdr:to>
          <xdr:col>3</xdr:col>
          <xdr:colOff>581025</xdr:colOff>
          <xdr:row>112</xdr:row>
          <xdr:rowOff>9525</xdr:rowOff>
        </xdr:to>
        <xdr:sp macro="" textlink="">
          <xdr:nvSpPr>
            <xdr:cNvPr id="7473" name="Check Box 305" hidden="1">
              <a:extLst>
                <a:ext uri="{63B3BB69-23CF-44E3-9099-C40C66FF867C}">
                  <a14:compatExt spid="_x0000_s7473"/>
                </a:ext>
                <a:ext uri="{FF2B5EF4-FFF2-40B4-BE49-F238E27FC236}">
                  <a16:creationId xmlns:a16="http://schemas.microsoft.com/office/drawing/2014/main" id="{00000000-0008-0000-0000-000031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Vomiting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111</xdr:row>
          <xdr:rowOff>171450</xdr:rowOff>
        </xdr:from>
        <xdr:to>
          <xdr:col>3</xdr:col>
          <xdr:colOff>581025</xdr:colOff>
          <xdr:row>113</xdr:row>
          <xdr:rowOff>9525</xdr:rowOff>
        </xdr:to>
        <xdr:sp macro="" textlink="">
          <xdr:nvSpPr>
            <xdr:cNvPr id="7474" name="Check Box 306" hidden="1">
              <a:extLst>
                <a:ext uri="{63B3BB69-23CF-44E3-9099-C40C66FF867C}">
                  <a14:compatExt spid="_x0000_s7474"/>
                </a:ext>
                <a:ext uri="{FF2B5EF4-FFF2-40B4-BE49-F238E27FC236}">
                  <a16:creationId xmlns:a16="http://schemas.microsoft.com/office/drawing/2014/main" id="{00000000-0008-0000-0000-000032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Diarrhea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112</xdr:row>
          <xdr:rowOff>161925</xdr:rowOff>
        </xdr:from>
        <xdr:to>
          <xdr:col>3</xdr:col>
          <xdr:colOff>581025</xdr:colOff>
          <xdr:row>114</xdr:row>
          <xdr:rowOff>0</xdr:rowOff>
        </xdr:to>
        <xdr:sp macro="" textlink="">
          <xdr:nvSpPr>
            <xdr:cNvPr id="7475" name="Check Box 307" hidden="1">
              <a:extLst>
                <a:ext uri="{63B3BB69-23CF-44E3-9099-C40C66FF867C}">
                  <a14:compatExt spid="_x0000_s7475"/>
                </a:ext>
                <a:ext uri="{FF2B5EF4-FFF2-40B4-BE49-F238E27FC236}">
                  <a16:creationId xmlns:a16="http://schemas.microsoft.com/office/drawing/2014/main" id="{00000000-0008-0000-0000-000033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Constipation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113</xdr:row>
          <xdr:rowOff>161925</xdr:rowOff>
        </xdr:from>
        <xdr:to>
          <xdr:col>3</xdr:col>
          <xdr:colOff>581025</xdr:colOff>
          <xdr:row>115</xdr:row>
          <xdr:rowOff>0</xdr:rowOff>
        </xdr:to>
        <xdr:sp macro="" textlink="">
          <xdr:nvSpPr>
            <xdr:cNvPr id="7476" name="Check Box 308" hidden="1">
              <a:extLst>
                <a:ext uri="{63B3BB69-23CF-44E3-9099-C40C66FF867C}">
                  <a14:compatExt spid="_x0000_s7476"/>
                </a:ext>
                <a:ext uri="{FF2B5EF4-FFF2-40B4-BE49-F238E27FC236}">
                  <a16:creationId xmlns:a16="http://schemas.microsoft.com/office/drawing/2014/main" id="{00000000-0008-0000-0000-000034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Shortness of Breath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105</xdr:row>
          <xdr:rowOff>0</xdr:rowOff>
        </xdr:from>
        <xdr:to>
          <xdr:col>6</xdr:col>
          <xdr:colOff>114300</xdr:colOff>
          <xdr:row>106</xdr:row>
          <xdr:rowOff>28575</xdr:rowOff>
        </xdr:to>
        <xdr:sp macro="" textlink="">
          <xdr:nvSpPr>
            <xdr:cNvPr id="7477" name="Check Box 309" hidden="1">
              <a:extLst>
                <a:ext uri="{63B3BB69-23CF-44E3-9099-C40C66FF867C}">
                  <a14:compatExt spid="_x0000_s7477"/>
                </a:ext>
                <a:ext uri="{FF2B5EF4-FFF2-40B4-BE49-F238E27FC236}">
                  <a16:creationId xmlns:a16="http://schemas.microsoft.com/office/drawing/2014/main" id="{00000000-0008-0000-0000-000035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Airway Clearance Difficulty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106</xdr:row>
          <xdr:rowOff>0</xdr:rowOff>
        </xdr:from>
        <xdr:to>
          <xdr:col>6</xdr:col>
          <xdr:colOff>114300</xdr:colOff>
          <xdr:row>107</xdr:row>
          <xdr:rowOff>28575</xdr:rowOff>
        </xdr:to>
        <xdr:sp macro="" textlink="">
          <xdr:nvSpPr>
            <xdr:cNvPr id="7478" name="Check Box 310" hidden="1">
              <a:extLst>
                <a:ext uri="{63B3BB69-23CF-44E3-9099-C40C66FF867C}">
                  <a14:compatExt spid="_x0000_s7478"/>
                </a:ext>
                <a:ext uri="{FF2B5EF4-FFF2-40B4-BE49-F238E27FC236}">
                  <a16:creationId xmlns:a16="http://schemas.microsoft.com/office/drawing/2014/main" id="{00000000-0008-0000-0000-000036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Confusion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106</xdr:row>
          <xdr:rowOff>180975</xdr:rowOff>
        </xdr:from>
        <xdr:to>
          <xdr:col>6</xdr:col>
          <xdr:colOff>114300</xdr:colOff>
          <xdr:row>108</xdr:row>
          <xdr:rowOff>19050</xdr:rowOff>
        </xdr:to>
        <xdr:sp macro="" textlink="">
          <xdr:nvSpPr>
            <xdr:cNvPr id="7479" name="Check Box 311" hidden="1">
              <a:extLst>
                <a:ext uri="{63B3BB69-23CF-44E3-9099-C40C66FF867C}">
                  <a14:compatExt spid="_x0000_s7479"/>
                </a:ext>
                <a:ext uri="{FF2B5EF4-FFF2-40B4-BE49-F238E27FC236}">
                  <a16:creationId xmlns:a16="http://schemas.microsoft.com/office/drawing/2014/main" id="{00000000-0008-0000-0000-000037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Drowsiness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107</xdr:row>
          <xdr:rowOff>180975</xdr:rowOff>
        </xdr:from>
        <xdr:to>
          <xdr:col>6</xdr:col>
          <xdr:colOff>114300</xdr:colOff>
          <xdr:row>109</xdr:row>
          <xdr:rowOff>19050</xdr:rowOff>
        </xdr:to>
        <xdr:sp macro="" textlink="">
          <xdr:nvSpPr>
            <xdr:cNvPr id="7480" name="Check Box 312" hidden="1">
              <a:extLst>
                <a:ext uri="{63B3BB69-23CF-44E3-9099-C40C66FF867C}">
                  <a14:compatExt spid="_x0000_s7480"/>
                </a:ext>
                <a:ext uri="{FF2B5EF4-FFF2-40B4-BE49-F238E27FC236}">
                  <a16:creationId xmlns:a16="http://schemas.microsoft.com/office/drawing/2014/main" id="{00000000-0008-0000-0000-000038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Cough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108</xdr:row>
          <xdr:rowOff>180975</xdr:rowOff>
        </xdr:from>
        <xdr:to>
          <xdr:col>6</xdr:col>
          <xdr:colOff>114300</xdr:colOff>
          <xdr:row>110</xdr:row>
          <xdr:rowOff>19050</xdr:rowOff>
        </xdr:to>
        <xdr:sp macro="" textlink="">
          <xdr:nvSpPr>
            <xdr:cNvPr id="7481" name="Check Box 313" hidden="1">
              <a:extLst>
                <a:ext uri="{63B3BB69-23CF-44E3-9099-C40C66FF867C}">
                  <a14:compatExt spid="_x0000_s7481"/>
                </a:ext>
                <a:ext uri="{FF2B5EF4-FFF2-40B4-BE49-F238E27FC236}">
                  <a16:creationId xmlns:a16="http://schemas.microsoft.com/office/drawing/2014/main" id="{00000000-0008-0000-0000-000039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Wheezing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109</xdr:row>
          <xdr:rowOff>171450</xdr:rowOff>
        </xdr:from>
        <xdr:to>
          <xdr:col>6</xdr:col>
          <xdr:colOff>114300</xdr:colOff>
          <xdr:row>111</xdr:row>
          <xdr:rowOff>9525</xdr:rowOff>
        </xdr:to>
        <xdr:sp macro="" textlink="">
          <xdr:nvSpPr>
            <xdr:cNvPr id="7482" name="Check Box 314" hidden="1">
              <a:extLst>
                <a:ext uri="{63B3BB69-23CF-44E3-9099-C40C66FF867C}">
                  <a14:compatExt spid="_x0000_s7482"/>
                </a:ext>
                <a:ext uri="{FF2B5EF4-FFF2-40B4-BE49-F238E27FC236}">
                  <a16:creationId xmlns:a16="http://schemas.microsoft.com/office/drawing/2014/main" id="{00000000-0008-0000-0000-00003A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Palpitations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110</xdr:row>
          <xdr:rowOff>171450</xdr:rowOff>
        </xdr:from>
        <xdr:to>
          <xdr:col>6</xdr:col>
          <xdr:colOff>114300</xdr:colOff>
          <xdr:row>112</xdr:row>
          <xdr:rowOff>9525</xdr:rowOff>
        </xdr:to>
        <xdr:sp macro="" textlink="">
          <xdr:nvSpPr>
            <xdr:cNvPr id="7483" name="Check Box 315" hidden="1">
              <a:extLst>
                <a:ext uri="{63B3BB69-23CF-44E3-9099-C40C66FF867C}">
                  <a14:compatExt spid="_x0000_s7483"/>
                </a:ext>
                <a:ext uri="{FF2B5EF4-FFF2-40B4-BE49-F238E27FC236}">
                  <a16:creationId xmlns:a16="http://schemas.microsoft.com/office/drawing/2014/main" id="{00000000-0008-0000-0000-00003B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Tachycardia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111</xdr:row>
          <xdr:rowOff>171450</xdr:rowOff>
        </xdr:from>
        <xdr:to>
          <xdr:col>6</xdr:col>
          <xdr:colOff>114300</xdr:colOff>
          <xdr:row>113</xdr:row>
          <xdr:rowOff>9525</xdr:rowOff>
        </xdr:to>
        <xdr:sp macro="" textlink="">
          <xdr:nvSpPr>
            <xdr:cNvPr id="7484" name="Check Box 316" hidden="1">
              <a:extLst>
                <a:ext uri="{63B3BB69-23CF-44E3-9099-C40C66FF867C}">
                  <a14:compatExt spid="_x0000_s7484"/>
                </a:ext>
                <a:ext uri="{FF2B5EF4-FFF2-40B4-BE49-F238E27FC236}">
                  <a16:creationId xmlns:a16="http://schemas.microsoft.com/office/drawing/2014/main" id="{00000000-0008-0000-0000-00003C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Bradycardia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112</xdr:row>
          <xdr:rowOff>161925</xdr:rowOff>
        </xdr:from>
        <xdr:to>
          <xdr:col>6</xdr:col>
          <xdr:colOff>114300</xdr:colOff>
          <xdr:row>114</xdr:row>
          <xdr:rowOff>0</xdr:rowOff>
        </xdr:to>
        <xdr:sp macro="" textlink="">
          <xdr:nvSpPr>
            <xdr:cNvPr id="7485" name="Check Box 317" hidden="1">
              <a:extLst>
                <a:ext uri="{63B3BB69-23CF-44E3-9099-C40C66FF867C}">
                  <a14:compatExt spid="_x0000_s7485"/>
                </a:ext>
                <a:ext uri="{FF2B5EF4-FFF2-40B4-BE49-F238E27FC236}">
                  <a16:creationId xmlns:a16="http://schemas.microsoft.com/office/drawing/2014/main" id="{00000000-0008-0000-0000-00003D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Hypertension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113</xdr:row>
          <xdr:rowOff>161925</xdr:rowOff>
        </xdr:from>
        <xdr:to>
          <xdr:col>6</xdr:col>
          <xdr:colOff>114300</xdr:colOff>
          <xdr:row>115</xdr:row>
          <xdr:rowOff>0</xdr:rowOff>
        </xdr:to>
        <xdr:sp macro="" textlink="">
          <xdr:nvSpPr>
            <xdr:cNvPr id="7486" name="Check Box 318" hidden="1">
              <a:extLst>
                <a:ext uri="{63B3BB69-23CF-44E3-9099-C40C66FF867C}">
                  <a14:compatExt spid="_x0000_s7486"/>
                </a:ext>
                <a:ext uri="{FF2B5EF4-FFF2-40B4-BE49-F238E27FC236}">
                  <a16:creationId xmlns:a16="http://schemas.microsoft.com/office/drawing/2014/main" id="{00000000-0008-0000-0000-00003E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Hypotension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105</xdr:row>
          <xdr:rowOff>0</xdr:rowOff>
        </xdr:from>
        <xdr:to>
          <xdr:col>9</xdr:col>
          <xdr:colOff>0</xdr:colOff>
          <xdr:row>106</xdr:row>
          <xdr:rowOff>28575</xdr:rowOff>
        </xdr:to>
        <xdr:sp macro="" textlink="">
          <xdr:nvSpPr>
            <xdr:cNvPr id="7487" name="Check Box 319" hidden="1">
              <a:extLst>
                <a:ext uri="{63B3BB69-23CF-44E3-9099-C40C66FF867C}">
                  <a14:compatExt spid="_x0000_s7487"/>
                </a:ext>
                <a:ext uri="{FF2B5EF4-FFF2-40B4-BE49-F238E27FC236}">
                  <a16:creationId xmlns:a16="http://schemas.microsoft.com/office/drawing/2014/main" id="{00000000-0008-0000-0000-00003F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Cognitive Impairment (severe)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105</xdr:row>
          <xdr:rowOff>180975</xdr:rowOff>
        </xdr:from>
        <xdr:to>
          <xdr:col>9</xdr:col>
          <xdr:colOff>0</xdr:colOff>
          <xdr:row>107</xdr:row>
          <xdr:rowOff>19050</xdr:rowOff>
        </xdr:to>
        <xdr:sp macro="" textlink="">
          <xdr:nvSpPr>
            <xdr:cNvPr id="7488" name="Check Box 320" hidden="1">
              <a:extLst>
                <a:ext uri="{63B3BB69-23CF-44E3-9099-C40C66FF867C}">
                  <a14:compatExt spid="_x0000_s7488"/>
                </a:ext>
                <a:ext uri="{FF2B5EF4-FFF2-40B4-BE49-F238E27FC236}">
                  <a16:creationId xmlns:a16="http://schemas.microsoft.com/office/drawing/2014/main" id="{00000000-0008-0000-0000-000040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Cognitive Impairment (mild)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106</xdr:row>
          <xdr:rowOff>180975</xdr:rowOff>
        </xdr:from>
        <xdr:to>
          <xdr:col>8</xdr:col>
          <xdr:colOff>200025</xdr:colOff>
          <xdr:row>108</xdr:row>
          <xdr:rowOff>19050</xdr:rowOff>
        </xdr:to>
        <xdr:sp macro="" textlink="">
          <xdr:nvSpPr>
            <xdr:cNvPr id="7489" name="Check Box 321" hidden="1">
              <a:extLst>
                <a:ext uri="{63B3BB69-23CF-44E3-9099-C40C66FF867C}">
                  <a14:compatExt spid="_x0000_s7489"/>
                </a:ext>
                <a:ext uri="{FF2B5EF4-FFF2-40B4-BE49-F238E27FC236}">
                  <a16:creationId xmlns:a16="http://schemas.microsoft.com/office/drawing/2014/main" id="{00000000-0008-0000-0000-000041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Weakness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107</xdr:row>
          <xdr:rowOff>171450</xdr:rowOff>
        </xdr:from>
        <xdr:to>
          <xdr:col>8</xdr:col>
          <xdr:colOff>200025</xdr:colOff>
          <xdr:row>109</xdr:row>
          <xdr:rowOff>9525</xdr:rowOff>
        </xdr:to>
        <xdr:sp macro="" textlink="">
          <xdr:nvSpPr>
            <xdr:cNvPr id="7490" name="Check Box 322" hidden="1">
              <a:extLst>
                <a:ext uri="{63B3BB69-23CF-44E3-9099-C40C66FF867C}">
                  <a14:compatExt spid="_x0000_s7490"/>
                </a:ext>
                <a:ext uri="{FF2B5EF4-FFF2-40B4-BE49-F238E27FC236}">
                  <a16:creationId xmlns:a16="http://schemas.microsoft.com/office/drawing/2014/main" id="{00000000-0008-0000-0000-000042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Fever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108</xdr:row>
          <xdr:rowOff>171450</xdr:rowOff>
        </xdr:from>
        <xdr:to>
          <xdr:col>8</xdr:col>
          <xdr:colOff>200025</xdr:colOff>
          <xdr:row>110</xdr:row>
          <xdr:rowOff>9525</xdr:rowOff>
        </xdr:to>
        <xdr:sp macro="" textlink="">
          <xdr:nvSpPr>
            <xdr:cNvPr id="7491" name="Check Box 323" hidden="1">
              <a:extLst>
                <a:ext uri="{63B3BB69-23CF-44E3-9099-C40C66FF867C}">
                  <a14:compatExt spid="_x0000_s7491"/>
                </a:ext>
                <a:ext uri="{FF2B5EF4-FFF2-40B4-BE49-F238E27FC236}">
                  <a16:creationId xmlns:a16="http://schemas.microsoft.com/office/drawing/2014/main" id="{00000000-0008-0000-0000-000043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Anorexia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109</xdr:row>
          <xdr:rowOff>161925</xdr:rowOff>
        </xdr:from>
        <xdr:to>
          <xdr:col>8</xdr:col>
          <xdr:colOff>200025</xdr:colOff>
          <xdr:row>111</xdr:row>
          <xdr:rowOff>0</xdr:rowOff>
        </xdr:to>
        <xdr:sp macro="" textlink="">
          <xdr:nvSpPr>
            <xdr:cNvPr id="7492" name="Check Box 324" hidden="1">
              <a:extLst>
                <a:ext uri="{63B3BB69-23CF-44E3-9099-C40C66FF867C}">
                  <a14:compatExt spid="_x0000_s7492"/>
                </a:ext>
                <a:ext uri="{FF2B5EF4-FFF2-40B4-BE49-F238E27FC236}">
                  <a16:creationId xmlns:a16="http://schemas.microsoft.com/office/drawing/2014/main" id="{00000000-0008-0000-0000-000044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Adipsia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110</xdr:row>
          <xdr:rowOff>161925</xdr:rowOff>
        </xdr:from>
        <xdr:to>
          <xdr:col>8</xdr:col>
          <xdr:colOff>200025</xdr:colOff>
          <xdr:row>112</xdr:row>
          <xdr:rowOff>0</xdr:rowOff>
        </xdr:to>
        <xdr:sp macro="" textlink="">
          <xdr:nvSpPr>
            <xdr:cNvPr id="7493" name="Check Box 325" hidden="1">
              <a:extLst>
                <a:ext uri="{63B3BB69-23CF-44E3-9099-C40C66FF867C}">
                  <a14:compatExt spid="_x0000_s7493"/>
                </a:ext>
                <a:ext uri="{FF2B5EF4-FFF2-40B4-BE49-F238E27FC236}">
                  <a16:creationId xmlns:a16="http://schemas.microsoft.com/office/drawing/2014/main" id="{00000000-0008-0000-0000-000045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Agitation/Restlessness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142</xdr:row>
          <xdr:rowOff>0</xdr:rowOff>
        </xdr:from>
        <xdr:to>
          <xdr:col>9</xdr:col>
          <xdr:colOff>0</xdr:colOff>
          <xdr:row>148</xdr:row>
          <xdr:rowOff>180975</xdr:rowOff>
        </xdr:to>
        <xdr:sp macro="" textlink="">
          <xdr:nvSpPr>
            <xdr:cNvPr id="7494" name="Group Box 326" hidden="1">
              <a:extLst>
                <a:ext uri="{63B3BB69-23CF-44E3-9099-C40C66FF867C}">
                  <a14:compatExt spid="_x0000_s7494"/>
                </a:ext>
                <a:ext uri="{FF2B5EF4-FFF2-40B4-BE49-F238E27FC236}">
                  <a16:creationId xmlns:a16="http://schemas.microsoft.com/office/drawing/2014/main" id="{00000000-0008-0000-0000-000046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Memory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144</xdr:row>
          <xdr:rowOff>180975</xdr:rowOff>
        </xdr:from>
        <xdr:to>
          <xdr:col>8</xdr:col>
          <xdr:colOff>0</xdr:colOff>
          <xdr:row>146</xdr:row>
          <xdr:rowOff>0</xdr:rowOff>
        </xdr:to>
        <xdr:sp macro="" textlink="">
          <xdr:nvSpPr>
            <xdr:cNvPr id="7495" name="Drop Down 327" hidden="1">
              <a:extLst>
                <a:ext uri="{63B3BB69-23CF-44E3-9099-C40C66FF867C}">
                  <a14:compatExt spid="_x0000_s7495"/>
                </a:ext>
                <a:ext uri="{FF2B5EF4-FFF2-40B4-BE49-F238E27FC236}">
                  <a16:creationId xmlns:a16="http://schemas.microsoft.com/office/drawing/2014/main" id="{00000000-0008-0000-0000-000047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128</xdr:row>
          <xdr:rowOff>0</xdr:rowOff>
        </xdr:from>
        <xdr:to>
          <xdr:col>5</xdr:col>
          <xdr:colOff>0</xdr:colOff>
          <xdr:row>129</xdr:row>
          <xdr:rowOff>9525</xdr:rowOff>
        </xdr:to>
        <xdr:sp macro="" textlink="">
          <xdr:nvSpPr>
            <xdr:cNvPr id="7496" name="Drop Down 328" hidden="1">
              <a:extLst>
                <a:ext uri="{63B3BB69-23CF-44E3-9099-C40C66FF867C}">
                  <a14:compatExt spid="_x0000_s7496"/>
                </a:ext>
                <a:ext uri="{FF2B5EF4-FFF2-40B4-BE49-F238E27FC236}">
                  <a16:creationId xmlns:a16="http://schemas.microsoft.com/office/drawing/2014/main" id="{00000000-0008-0000-0000-000048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139</xdr:row>
          <xdr:rowOff>0</xdr:rowOff>
        </xdr:from>
        <xdr:to>
          <xdr:col>3</xdr:col>
          <xdr:colOff>400050</xdr:colOff>
          <xdr:row>140</xdr:row>
          <xdr:rowOff>0</xdr:rowOff>
        </xdr:to>
        <xdr:sp macro="" textlink="">
          <xdr:nvSpPr>
            <xdr:cNvPr id="7497" name="Label 329" hidden="1">
              <a:extLst>
                <a:ext uri="{63B3BB69-23CF-44E3-9099-C40C66FF867C}">
                  <a14:compatExt spid="_x0000_s7497"/>
                </a:ext>
                <a:ext uri="{FF2B5EF4-FFF2-40B4-BE49-F238E27FC236}">
                  <a16:creationId xmlns:a16="http://schemas.microsoft.com/office/drawing/2014/main" id="{00000000-0008-0000-0000-000049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Score: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150</xdr:row>
          <xdr:rowOff>0</xdr:rowOff>
        </xdr:from>
        <xdr:to>
          <xdr:col>5</xdr:col>
          <xdr:colOff>0</xdr:colOff>
          <xdr:row>157</xdr:row>
          <xdr:rowOff>0</xdr:rowOff>
        </xdr:to>
        <xdr:sp macro="" textlink="">
          <xdr:nvSpPr>
            <xdr:cNvPr id="7498" name="Group Box 330" hidden="1">
              <a:extLst>
                <a:ext uri="{63B3BB69-23CF-44E3-9099-C40C66FF867C}">
                  <a14:compatExt spid="_x0000_s7498"/>
                </a:ext>
                <a:ext uri="{FF2B5EF4-FFF2-40B4-BE49-F238E27FC236}">
                  <a16:creationId xmlns:a16="http://schemas.microsoft.com/office/drawing/2014/main" id="{00000000-0008-0000-0000-00004A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Orientation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127</xdr:row>
          <xdr:rowOff>0</xdr:rowOff>
        </xdr:from>
        <xdr:to>
          <xdr:col>6</xdr:col>
          <xdr:colOff>0</xdr:colOff>
          <xdr:row>130</xdr:row>
          <xdr:rowOff>0</xdr:rowOff>
        </xdr:to>
        <xdr:sp macro="" textlink="">
          <xdr:nvSpPr>
            <xdr:cNvPr id="7499" name="Group Box 331" hidden="1">
              <a:extLst>
                <a:ext uri="{63B3BB69-23CF-44E3-9099-C40C66FF867C}">
                  <a14:compatExt spid="_x0000_s7499"/>
                </a:ext>
                <a:ext uri="{FF2B5EF4-FFF2-40B4-BE49-F238E27FC236}">
                  <a16:creationId xmlns:a16="http://schemas.microsoft.com/office/drawing/2014/main" id="{00000000-0008-0000-0000-00004B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Level of Interaction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131</xdr:row>
          <xdr:rowOff>0</xdr:rowOff>
        </xdr:from>
        <xdr:to>
          <xdr:col>7</xdr:col>
          <xdr:colOff>0</xdr:colOff>
          <xdr:row>141</xdr:row>
          <xdr:rowOff>0</xdr:rowOff>
        </xdr:to>
        <xdr:sp macro="" textlink="">
          <xdr:nvSpPr>
            <xdr:cNvPr id="7500" name="Group Box 332" hidden="1">
              <a:extLst>
                <a:ext uri="{63B3BB69-23CF-44E3-9099-C40C66FF867C}">
                  <a14:compatExt spid="_x0000_s7500"/>
                </a:ext>
                <a:ext uri="{FF2B5EF4-FFF2-40B4-BE49-F238E27FC236}">
                  <a16:creationId xmlns:a16="http://schemas.microsoft.com/office/drawing/2014/main" id="{00000000-0008-0000-0000-00004C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Glasgow Coma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89</xdr:row>
          <xdr:rowOff>180975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7501" name="Label 333" hidden="1">
              <a:extLst>
                <a:ext uri="{63B3BB69-23CF-44E3-9099-C40C66FF867C}">
                  <a14:compatExt spid="_x0000_s7501"/>
                </a:ext>
                <a:ext uri="{FF2B5EF4-FFF2-40B4-BE49-F238E27FC236}">
                  <a16:creationId xmlns:a16="http://schemas.microsoft.com/office/drawing/2014/main" id="{00000000-0008-0000-0000-00004D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Episode Narrative: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95</xdr:row>
          <xdr:rowOff>180975</xdr:rowOff>
        </xdr:from>
        <xdr:to>
          <xdr:col>3</xdr:col>
          <xdr:colOff>0</xdr:colOff>
          <xdr:row>96</xdr:row>
          <xdr:rowOff>180975</xdr:rowOff>
        </xdr:to>
        <xdr:sp macro="" textlink="">
          <xdr:nvSpPr>
            <xdr:cNvPr id="7502" name="Label 334" hidden="1">
              <a:extLst>
                <a:ext uri="{63B3BB69-23CF-44E3-9099-C40C66FF867C}">
                  <a14:compatExt spid="_x0000_s7502"/>
                </a:ext>
                <a:ext uri="{FF2B5EF4-FFF2-40B4-BE49-F238E27FC236}">
                  <a16:creationId xmlns:a16="http://schemas.microsoft.com/office/drawing/2014/main" id="{00000000-0008-0000-0000-00004E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Other Notes: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88</xdr:row>
          <xdr:rowOff>19050</xdr:rowOff>
        </xdr:from>
        <xdr:to>
          <xdr:col>5</xdr:col>
          <xdr:colOff>352425</xdr:colOff>
          <xdr:row>89</xdr:row>
          <xdr:rowOff>38100</xdr:rowOff>
        </xdr:to>
        <xdr:sp macro="" textlink="">
          <xdr:nvSpPr>
            <xdr:cNvPr id="7503" name="Label 335" hidden="1">
              <a:extLst>
                <a:ext uri="{63B3BB69-23CF-44E3-9099-C40C66FF867C}">
                  <a14:compatExt spid="_x0000_s7503"/>
                </a:ext>
                <a:ext uri="{FF2B5EF4-FFF2-40B4-BE49-F238E27FC236}">
                  <a16:creationId xmlns:a16="http://schemas.microsoft.com/office/drawing/2014/main" id="{00000000-0008-0000-0000-00004F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Days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88</xdr:row>
          <xdr:rowOff>0</xdr:rowOff>
        </xdr:from>
        <xdr:to>
          <xdr:col>3</xdr:col>
          <xdr:colOff>342900</xdr:colOff>
          <xdr:row>89</xdr:row>
          <xdr:rowOff>9525</xdr:rowOff>
        </xdr:to>
        <xdr:sp macro="" textlink="">
          <xdr:nvSpPr>
            <xdr:cNvPr id="7504" name="Label 336" hidden="1">
              <a:extLst>
                <a:ext uri="{63B3BB69-23CF-44E3-9099-C40C66FF867C}">
                  <a14:compatExt spid="_x0000_s7504"/>
                </a:ext>
                <a:ext uri="{FF2B5EF4-FFF2-40B4-BE49-F238E27FC236}">
                  <a16:creationId xmlns:a16="http://schemas.microsoft.com/office/drawing/2014/main" id="{00000000-0008-0000-0000-000050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Length of Episode: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85</xdr:row>
          <xdr:rowOff>0</xdr:rowOff>
        </xdr:from>
        <xdr:to>
          <xdr:col>8</xdr:col>
          <xdr:colOff>0</xdr:colOff>
          <xdr:row>103</xdr:row>
          <xdr:rowOff>0</xdr:rowOff>
        </xdr:to>
        <xdr:sp macro="" textlink="">
          <xdr:nvSpPr>
            <xdr:cNvPr id="7505" name="Group Box 337" hidden="1">
              <a:extLst>
                <a:ext uri="{63B3BB69-23CF-44E3-9099-C40C66FF867C}">
                  <a14:compatExt spid="_x0000_s7505"/>
                </a:ext>
                <a:ext uri="{FF2B5EF4-FFF2-40B4-BE49-F238E27FC236}">
                  <a16:creationId xmlns:a16="http://schemas.microsoft.com/office/drawing/2014/main" id="{00000000-0008-0000-0000-000051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Experience Descirption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86</xdr:row>
          <xdr:rowOff>0</xdr:rowOff>
        </xdr:from>
        <xdr:to>
          <xdr:col>3</xdr:col>
          <xdr:colOff>342900</xdr:colOff>
          <xdr:row>87</xdr:row>
          <xdr:rowOff>9525</xdr:rowOff>
        </xdr:to>
        <xdr:sp macro="" textlink="">
          <xdr:nvSpPr>
            <xdr:cNvPr id="7506" name="Label 338" hidden="1">
              <a:extLst>
                <a:ext uri="{63B3BB69-23CF-44E3-9099-C40C66FF867C}">
                  <a14:compatExt spid="_x0000_s7506"/>
                </a:ext>
                <a:ext uri="{FF2B5EF4-FFF2-40B4-BE49-F238E27FC236}">
                  <a16:creationId xmlns:a16="http://schemas.microsoft.com/office/drawing/2014/main" id="{00000000-0008-0000-0000-000052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Days Before Death: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86</xdr:row>
          <xdr:rowOff>19050</xdr:rowOff>
        </xdr:from>
        <xdr:to>
          <xdr:col>5</xdr:col>
          <xdr:colOff>352425</xdr:colOff>
          <xdr:row>87</xdr:row>
          <xdr:rowOff>38100</xdr:rowOff>
        </xdr:to>
        <xdr:sp macro="" textlink="">
          <xdr:nvSpPr>
            <xdr:cNvPr id="7507" name="Label 339" hidden="1">
              <a:extLst>
                <a:ext uri="{63B3BB69-23CF-44E3-9099-C40C66FF867C}">
                  <a14:compatExt spid="_x0000_s7507"/>
                </a:ext>
                <a:ext uri="{FF2B5EF4-FFF2-40B4-BE49-F238E27FC236}">
                  <a16:creationId xmlns:a16="http://schemas.microsoft.com/office/drawing/2014/main" id="{00000000-0008-0000-0000-000053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Days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88</xdr:row>
          <xdr:rowOff>19050</xdr:rowOff>
        </xdr:from>
        <xdr:to>
          <xdr:col>7</xdr:col>
          <xdr:colOff>333375</xdr:colOff>
          <xdr:row>89</xdr:row>
          <xdr:rowOff>38100</xdr:rowOff>
        </xdr:to>
        <xdr:sp macro="" textlink="">
          <xdr:nvSpPr>
            <xdr:cNvPr id="7508" name="Label 340" hidden="1">
              <a:extLst>
                <a:ext uri="{63B3BB69-23CF-44E3-9099-C40C66FF867C}">
                  <a14:compatExt spid="_x0000_s7508"/>
                </a:ext>
                <a:ext uri="{FF2B5EF4-FFF2-40B4-BE49-F238E27FC236}">
                  <a16:creationId xmlns:a16="http://schemas.microsoft.com/office/drawing/2014/main" id="{00000000-0008-0000-0000-000054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Hours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156</xdr:row>
          <xdr:rowOff>0</xdr:rowOff>
        </xdr:from>
        <xdr:to>
          <xdr:col>3</xdr:col>
          <xdr:colOff>400050</xdr:colOff>
          <xdr:row>157</xdr:row>
          <xdr:rowOff>0</xdr:rowOff>
        </xdr:to>
        <xdr:sp macro="" textlink="">
          <xdr:nvSpPr>
            <xdr:cNvPr id="7509" name="Label 341" hidden="1">
              <a:extLst>
                <a:ext uri="{63B3BB69-23CF-44E3-9099-C40C66FF867C}">
                  <a14:compatExt spid="_x0000_s7509"/>
                </a:ext>
                <a:ext uri="{FF2B5EF4-FFF2-40B4-BE49-F238E27FC236}">
                  <a16:creationId xmlns:a16="http://schemas.microsoft.com/office/drawing/2014/main" id="{00000000-0008-0000-0000-000055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Score:</a:t>
              </a:r>
            </a:p>
          </xdr:txBody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51153-7182-4CC6-A17F-1C6A9404E815}">
  <sheetPr codeName="Sheet6"/>
  <dimension ref="B1:AB219"/>
  <sheetViews>
    <sheetView showGridLines="0" tabSelected="1" zoomScaleNormal="100" workbookViewId="0">
      <selection activeCell="L18" sqref="L18"/>
    </sheetView>
  </sheetViews>
  <sheetFormatPr defaultColWidth="9.140625" defaultRowHeight="15" x14ac:dyDescent="0.25"/>
  <cols>
    <col min="1" max="8" width="9.140625" customWidth="1"/>
    <col min="14" max="14" width="55.85546875" bestFit="1" customWidth="1"/>
    <col min="15" max="16" width="28.7109375" customWidth="1"/>
    <col min="17" max="17" width="25.28515625" customWidth="1"/>
    <col min="18" max="18" width="9.140625" style="5"/>
    <col min="21" max="21" width="9.140625" style="4"/>
  </cols>
  <sheetData>
    <row r="1" spans="2:28" x14ac:dyDescent="0.25">
      <c r="N1" s="4" t="s">
        <v>117</v>
      </c>
      <c r="O1" s="4">
        <v>0</v>
      </c>
      <c r="P1" s="4">
        <v>0</v>
      </c>
      <c r="Q1" s="4">
        <f>P1</f>
        <v>0</v>
      </c>
      <c r="U1" s="4">
        <v>0</v>
      </c>
      <c r="AB1">
        <v>1</v>
      </c>
    </row>
    <row r="2" spans="2:28" x14ac:dyDescent="0.25">
      <c r="B2" s="6"/>
      <c r="C2" s="6"/>
      <c r="D2" s="6"/>
      <c r="E2" s="6"/>
      <c r="F2" s="6"/>
      <c r="G2" s="6"/>
      <c r="N2" s="4" t="s">
        <v>118</v>
      </c>
      <c r="O2" s="4" t="s">
        <v>220</v>
      </c>
      <c r="P2" s="4" t="s">
        <v>220</v>
      </c>
      <c r="Q2" s="4">
        <f>IFERROR(IF(P1=0,0,INDEX(Options!A3:A4,Report!P1)),"")</f>
        <v>0</v>
      </c>
      <c r="R2" s="5">
        <f>IFERROR(VLOOKUP(Q42,Options!$A$60:$B$64,2,FALSE),0)</f>
        <v>0</v>
      </c>
    </row>
    <row r="3" spans="2:28" x14ac:dyDescent="0.25">
      <c r="B3" s="6"/>
      <c r="C3" s="6"/>
      <c r="D3" s="6"/>
      <c r="E3" s="6"/>
      <c r="F3" s="6"/>
      <c r="G3" s="6"/>
      <c r="N3" s="4" t="s">
        <v>119</v>
      </c>
      <c r="O3" s="4">
        <v>0</v>
      </c>
      <c r="P3" s="4">
        <v>0</v>
      </c>
      <c r="Q3" s="4">
        <f>D9</f>
        <v>0</v>
      </c>
      <c r="R3" s="5">
        <f>IFERROR(VLOOKUP(Q44,Options!$A$66:$B$71,2,FALSE),0)</f>
        <v>0</v>
      </c>
      <c r="U3" s="4">
        <v>0</v>
      </c>
    </row>
    <row r="4" spans="2:28" x14ac:dyDescent="0.25">
      <c r="B4" s="6"/>
      <c r="C4" s="7"/>
      <c r="D4" s="7"/>
      <c r="E4" s="7"/>
      <c r="F4" s="6"/>
      <c r="G4" s="6"/>
      <c r="I4" s="13"/>
      <c r="J4" s="13"/>
      <c r="K4" s="13"/>
      <c r="L4" s="13"/>
      <c r="N4" s="4" t="s">
        <v>213</v>
      </c>
      <c r="O4" s="4">
        <v>1</v>
      </c>
      <c r="P4" s="4">
        <v>1</v>
      </c>
      <c r="Q4" s="4">
        <f>P4</f>
        <v>1</v>
      </c>
      <c r="R4" s="5">
        <f>IFERROR(VLOOKUP(Q46,Options!$A$74:$B$79,2,FALSE),0)</f>
        <v>0</v>
      </c>
      <c r="U4" s="4">
        <v>0</v>
      </c>
    </row>
    <row r="5" spans="2:28" x14ac:dyDescent="0.25">
      <c r="B5" s="6"/>
      <c r="C5" s="7"/>
      <c r="D5" s="7"/>
      <c r="E5" s="7"/>
      <c r="F5" s="6"/>
      <c r="G5" s="6"/>
      <c r="I5" s="13"/>
      <c r="J5" s="13"/>
      <c r="K5" s="13"/>
      <c r="L5" s="13"/>
      <c r="N5" s="4" t="s">
        <v>120</v>
      </c>
      <c r="O5" s="4" t="s">
        <v>220</v>
      </c>
      <c r="P5" s="4" t="s">
        <v>220</v>
      </c>
      <c r="Q5" s="4">
        <f>IFERROR(INDEX(Options!A9:A17,Report!P4),"error_result")</f>
        <v>0</v>
      </c>
      <c r="R5" s="5">
        <f>IFERROR(VLOOKUP(Q98,Options!$A$61:$B$64,2,FALSE),0)</f>
        <v>0</v>
      </c>
      <c r="U5" s="4" t="b">
        <v>0</v>
      </c>
    </row>
    <row r="6" spans="2:28" x14ac:dyDescent="0.25">
      <c r="B6" s="6"/>
      <c r="C6" s="7"/>
      <c r="D6" s="7"/>
      <c r="E6" s="7"/>
      <c r="F6" s="6"/>
      <c r="G6" s="6"/>
      <c r="I6" s="13"/>
      <c r="J6" s="13"/>
      <c r="K6" s="13"/>
      <c r="L6" s="13"/>
      <c r="N6" s="4" t="s">
        <v>214</v>
      </c>
      <c r="O6" s="4">
        <v>1</v>
      </c>
      <c r="P6" s="4">
        <v>1</v>
      </c>
      <c r="Q6" s="4">
        <f>P6</f>
        <v>1</v>
      </c>
      <c r="R6" s="5">
        <f>IFERROR(VLOOKUP(Q100,Options!$A$67:$B$71,2,FALSE),0)</f>
        <v>0</v>
      </c>
      <c r="U6" s="4" t="b">
        <v>0</v>
      </c>
    </row>
    <row r="7" spans="2:28" x14ac:dyDescent="0.25">
      <c r="B7" s="6"/>
      <c r="C7" s="6"/>
      <c r="D7" s="6"/>
      <c r="E7" s="6"/>
      <c r="F7" s="6"/>
      <c r="G7" s="6"/>
      <c r="I7" s="13"/>
      <c r="J7" s="13"/>
      <c r="K7" s="13"/>
      <c r="L7" s="13"/>
      <c r="N7" s="4" t="s">
        <v>121</v>
      </c>
      <c r="O7" s="4" t="s">
        <v>220</v>
      </c>
      <c r="P7" s="4" t="s">
        <v>220</v>
      </c>
      <c r="Q7" s="4">
        <f>IFERROR(INDEX(Options!A20:A36,Report!P6),"error_result")</f>
        <v>0</v>
      </c>
      <c r="R7" s="5">
        <f>IFERROR(VLOOKUP(Q102,Options!$A$74:$B$79,2,FALSE),0)</f>
        <v>0</v>
      </c>
      <c r="U7" s="4" t="b">
        <v>0</v>
      </c>
    </row>
    <row r="8" spans="2:28" x14ac:dyDescent="0.25">
      <c r="B8" s="6"/>
      <c r="C8" s="7"/>
      <c r="D8" s="7"/>
      <c r="E8" s="7"/>
      <c r="F8" s="7"/>
      <c r="G8" s="6"/>
      <c r="J8" s="4">
        <v>1</v>
      </c>
      <c r="N8" s="4" t="s">
        <v>122</v>
      </c>
      <c r="O8" s="4" t="b">
        <v>0</v>
      </c>
      <c r="P8" s="4" t="b">
        <v>0</v>
      </c>
      <c r="Q8" s="4" t="b">
        <f>P8</f>
        <v>0</v>
      </c>
      <c r="R8" s="5">
        <f>IFERROR(VLOOKUP(Q149,Options!$A$61:$B$64,2,FALSE),0)</f>
        <v>0</v>
      </c>
      <c r="U8" s="4" t="b">
        <v>0</v>
      </c>
    </row>
    <row r="9" spans="2:28" x14ac:dyDescent="0.25">
      <c r="B9" s="6"/>
      <c r="C9" s="7"/>
      <c r="D9" s="12"/>
      <c r="E9" s="7"/>
      <c r="F9" s="7"/>
      <c r="G9" s="6"/>
      <c r="N9" s="4" t="s">
        <v>123</v>
      </c>
      <c r="O9" s="4" t="b">
        <v>0</v>
      </c>
      <c r="P9" s="4" t="b">
        <v>0</v>
      </c>
      <c r="Q9" s="4" t="b">
        <f t="shared" ref="Q9:Q34" si="0">P9</f>
        <v>0</v>
      </c>
      <c r="R9" s="5">
        <f>IFERROR(VLOOKUP(Q151,Options!$A$67:$B$71,2,FALSE),0)</f>
        <v>0</v>
      </c>
      <c r="U9" s="4" t="b">
        <v>0</v>
      </c>
    </row>
    <row r="10" spans="2:28" x14ac:dyDescent="0.25">
      <c r="B10" s="6"/>
      <c r="C10" s="7"/>
      <c r="D10" s="7"/>
      <c r="E10" s="7"/>
      <c r="F10" s="7"/>
      <c r="G10" s="6"/>
      <c r="I10" s="13"/>
      <c r="J10" s="13"/>
      <c r="K10" s="13"/>
      <c r="L10" s="13"/>
      <c r="N10" s="4" t="s">
        <v>124</v>
      </c>
      <c r="O10" s="4" t="b">
        <v>0</v>
      </c>
      <c r="P10" s="4" t="b">
        <v>0</v>
      </c>
      <c r="Q10" s="4" t="b">
        <f t="shared" si="0"/>
        <v>0</v>
      </c>
      <c r="R10" s="5">
        <f>IFERROR(VLOOKUP(Q153,Options!$A$74:$B$79,2,FALSE),0)</f>
        <v>0</v>
      </c>
      <c r="U10" s="4" t="b">
        <v>0</v>
      </c>
    </row>
    <row r="11" spans="2:28" x14ac:dyDescent="0.25">
      <c r="B11" s="6"/>
      <c r="C11" s="6"/>
      <c r="D11" s="6"/>
      <c r="E11" s="6"/>
      <c r="F11" s="6"/>
      <c r="G11" s="6"/>
      <c r="I11" s="13"/>
      <c r="J11" s="13"/>
      <c r="K11" s="13"/>
      <c r="L11" s="13"/>
      <c r="N11" s="4" t="s">
        <v>125</v>
      </c>
      <c r="O11" s="4" t="b">
        <v>0</v>
      </c>
      <c r="P11" s="4" t="b">
        <v>0</v>
      </c>
      <c r="Q11" s="4" t="b">
        <f>P11</f>
        <v>0</v>
      </c>
      <c r="U11" s="4" t="b">
        <v>0</v>
      </c>
    </row>
    <row r="12" spans="2:28" x14ac:dyDescent="0.25">
      <c r="B12" s="6"/>
      <c r="C12" s="7"/>
      <c r="D12" s="7"/>
      <c r="E12" s="7"/>
      <c r="F12" s="7"/>
      <c r="G12" s="6"/>
      <c r="I12" s="13"/>
      <c r="J12" s="13"/>
      <c r="K12" s="13"/>
      <c r="L12" s="13"/>
      <c r="N12" s="4" t="s">
        <v>126</v>
      </c>
      <c r="O12" s="4" t="b">
        <v>0</v>
      </c>
      <c r="P12" s="4" t="b">
        <v>0</v>
      </c>
      <c r="Q12" s="4" t="b">
        <f t="shared" si="0"/>
        <v>0</v>
      </c>
      <c r="U12" s="4" t="b">
        <v>0</v>
      </c>
    </row>
    <row r="13" spans="2:28" x14ac:dyDescent="0.25">
      <c r="B13" s="6"/>
      <c r="C13" s="7"/>
      <c r="D13" s="7"/>
      <c r="E13" s="7"/>
      <c r="F13" s="7"/>
      <c r="G13" s="6"/>
      <c r="N13" s="4" t="s">
        <v>127</v>
      </c>
      <c r="O13" s="4" t="b">
        <v>0</v>
      </c>
      <c r="P13" s="4" t="b">
        <v>0</v>
      </c>
      <c r="Q13" s="4" t="b">
        <f t="shared" si="0"/>
        <v>0</v>
      </c>
      <c r="U13" s="4" t="b">
        <v>0</v>
      </c>
    </row>
    <row r="14" spans="2:28" x14ac:dyDescent="0.25">
      <c r="B14" s="6"/>
      <c r="C14" s="7"/>
      <c r="D14" s="7"/>
      <c r="E14" s="7"/>
      <c r="F14" s="7"/>
      <c r="G14" s="6"/>
      <c r="N14" s="4" t="s">
        <v>128</v>
      </c>
      <c r="O14" s="4" t="b">
        <v>0</v>
      </c>
      <c r="P14" s="4" t="b">
        <v>0</v>
      </c>
      <c r="Q14" s="4" t="b">
        <f t="shared" si="0"/>
        <v>0</v>
      </c>
      <c r="U14" s="4" t="b">
        <v>0</v>
      </c>
    </row>
    <row r="15" spans="2:28" x14ac:dyDescent="0.25">
      <c r="B15" s="6"/>
      <c r="C15" s="6"/>
      <c r="D15" s="6"/>
      <c r="E15" s="6"/>
      <c r="F15" s="6"/>
      <c r="G15" s="6"/>
      <c r="N15" s="4" t="s">
        <v>129</v>
      </c>
      <c r="O15" s="4" t="b">
        <v>0</v>
      </c>
      <c r="P15" s="4" t="b">
        <v>0</v>
      </c>
      <c r="Q15" s="4" t="b">
        <f t="shared" si="0"/>
        <v>0</v>
      </c>
      <c r="U15" s="4" t="b">
        <v>0</v>
      </c>
    </row>
    <row r="16" spans="2:28" x14ac:dyDescent="0.25">
      <c r="B16" s="6"/>
      <c r="C16" s="7"/>
      <c r="D16" s="7"/>
      <c r="E16" s="7"/>
      <c r="F16" s="7"/>
      <c r="G16" s="6"/>
      <c r="N16" s="4" t="s">
        <v>130</v>
      </c>
      <c r="O16" s="4" t="b">
        <v>0</v>
      </c>
      <c r="P16" s="4" t="b">
        <v>0</v>
      </c>
      <c r="Q16" s="4" t="b">
        <f t="shared" si="0"/>
        <v>0</v>
      </c>
      <c r="U16" s="4" t="b">
        <v>0</v>
      </c>
    </row>
    <row r="17" spans="2:21" x14ac:dyDescent="0.25">
      <c r="B17" s="6"/>
      <c r="C17" s="7"/>
      <c r="D17" s="7"/>
      <c r="E17" s="7"/>
      <c r="F17" s="7"/>
      <c r="G17" s="6"/>
      <c r="N17" s="4" t="s">
        <v>131</v>
      </c>
      <c r="O17" s="4" t="b">
        <v>0</v>
      </c>
      <c r="P17" s="4" t="b">
        <v>0</v>
      </c>
      <c r="Q17" s="4" t="b">
        <f t="shared" si="0"/>
        <v>0</v>
      </c>
      <c r="U17" s="4" t="b">
        <v>0</v>
      </c>
    </row>
    <row r="18" spans="2:21" x14ac:dyDescent="0.25">
      <c r="B18" s="6"/>
      <c r="C18" s="7"/>
      <c r="D18" s="7"/>
      <c r="E18" s="7"/>
      <c r="F18" s="7"/>
      <c r="G18" s="6"/>
      <c r="N18" s="4" t="s">
        <v>132</v>
      </c>
      <c r="O18" s="4" t="b">
        <v>0</v>
      </c>
      <c r="P18" s="4" t="b">
        <v>0</v>
      </c>
      <c r="Q18" s="4" t="b">
        <f t="shared" si="0"/>
        <v>0</v>
      </c>
      <c r="U18" s="4" t="b">
        <v>0</v>
      </c>
    </row>
    <row r="19" spans="2:21" x14ac:dyDescent="0.25">
      <c r="B19" s="6"/>
      <c r="C19" s="6"/>
      <c r="D19" s="6"/>
      <c r="E19" s="6"/>
      <c r="F19" s="6"/>
      <c r="G19" s="6"/>
      <c r="N19" s="4" t="s">
        <v>133</v>
      </c>
      <c r="O19" s="4" t="b">
        <v>0</v>
      </c>
      <c r="P19" s="4" t="b">
        <v>0</v>
      </c>
      <c r="Q19" s="4" t="b">
        <f t="shared" si="0"/>
        <v>0</v>
      </c>
      <c r="U19" s="4" t="b">
        <v>0</v>
      </c>
    </row>
    <row r="20" spans="2:21" x14ac:dyDescent="0.25">
      <c r="N20" s="4" t="s">
        <v>134</v>
      </c>
      <c r="O20" s="4" t="b">
        <v>0</v>
      </c>
      <c r="P20" s="4" t="b">
        <v>0</v>
      </c>
      <c r="Q20" s="4" t="b">
        <f t="shared" si="0"/>
        <v>0</v>
      </c>
      <c r="U20" s="4" t="b">
        <v>0</v>
      </c>
    </row>
    <row r="21" spans="2:21" x14ac:dyDescent="0.25">
      <c r="N21" s="4" t="s">
        <v>135</v>
      </c>
      <c r="O21" s="4" t="b">
        <v>0</v>
      </c>
      <c r="P21" s="4" t="b">
        <v>0</v>
      </c>
      <c r="Q21" s="4" t="b">
        <f t="shared" si="0"/>
        <v>0</v>
      </c>
      <c r="U21" s="4" t="b">
        <v>0</v>
      </c>
    </row>
    <row r="22" spans="2:21" x14ac:dyDescent="0.25">
      <c r="B22" s="6"/>
      <c r="C22" s="6"/>
      <c r="D22" s="6"/>
      <c r="E22" s="6"/>
      <c r="F22" s="6"/>
      <c r="G22" s="6"/>
      <c r="H22" s="6"/>
      <c r="I22" s="6"/>
      <c r="J22" s="6"/>
      <c r="N22" s="4" t="s">
        <v>136</v>
      </c>
      <c r="O22" s="4" t="b">
        <v>0</v>
      </c>
      <c r="P22" s="4" t="b">
        <v>0</v>
      </c>
      <c r="Q22" s="4" t="b">
        <f t="shared" si="0"/>
        <v>0</v>
      </c>
      <c r="U22" s="4" t="b">
        <v>0</v>
      </c>
    </row>
    <row r="23" spans="2:21" x14ac:dyDescent="0.25">
      <c r="B23" s="6"/>
      <c r="C23" s="7"/>
      <c r="D23" s="7"/>
      <c r="E23" s="7"/>
      <c r="F23" s="7"/>
      <c r="G23" s="7"/>
      <c r="H23" s="7"/>
      <c r="I23" s="7"/>
      <c r="J23" s="6"/>
      <c r="N23" s="4" t="s">
        <v>137</v>
      </c>
      <c r="O23" s="4" t="b">
        <v>0</v>
      </c>
      <c r="P23" s="4" t="b">
        <v>0</v>
      </c>
      <c r="Q23" s="4" t="b">
        <f t="shared" si="0"/>
        <v>0</v>
      </c>
      <c r="U23" s="4" t="b">
        <v>0</v>
      </c>
    </row>
    <row r="24" spans="2:21" x14ac:dyDescent="0.25">
      <c r="B24" s="6"/>
      <c r="C24" s="7"/>
      <c r="D24" s="7"/>
      <c r="E24" s="7"/>
      <c r="F24" s="7"/>
      <c r="G24" s="7"/>
      <c r="H24" s="7"/>
      <c r="I24" s="7"/>
      <c r="J24" s="6"/>
      <c r="N24" s="4" t="s">
        <v>138</v>
      </c>
      <c r="O24" s="4" t="b">
        <v>0</v>
      </c>
      <c r="P24" s="4" t="b">
        <v>0</v>
      </c>
      <c r="Q24" s="4" t="b">
        <f t="shared" si="0"/>
        <v>0</v>
      </c>
      <c r="U24" s="4" t="b">
        <v>0</v>
      </c>
    </row>
    <row r="25" spans="2:21" x14ac:dyDescent="0.25">
      <c r="B25" s="6"/>
      <c r="C25" s="7"/>
      <c r="D25" s="7"/>
      <c r="E25" s="7"/>
      <c r="F25" s="7"/>
      <c r="G25" s="7"/>
      <c r="H25" s="7"/>
      <c r="I25" s="7"/>
      <c r="J25" s="6"/>
      <c r="N25" s="4" t="s">
        <v>139</v>
      </c>
      <c r="O25" s="4" t="b">
        <v>0</v>
      </c>
      <c r="P25" s="4" t="b">
        <v>0</v>
      </c>
      <c r="Q25" s="4" t="b">
        <f t="shared" si="0"/>
        <v>0</v>
      </c>
      <c r="U25" s="4" t="b">
        <v>0</v>
      </c>
    </row>
    <row r="26" spans="2:21" x14ac:dyDescent="0.25">
      <c r="B26" s="6"/>
      <c r="C26" s="7"/>
      <c r="D26" s="7"/>
      <c r="E26" s="7"/>
      <c r="F26" s="7"/>
      <c r="G26" s="7"/>
      <c r="H26" s="7"/>
      <c r="I26" s="7"/>
      <c r="J26" s="6"/>
      <c r="N26" s="4" t="s">
        <v>140</v>
      </c>
      <c r="O26" s="4" t="b">
        <v>0</v>
      </c>
      <c r="P26" s="4" t="b">
        <v>0</v>
      </c>
      <c r="Q26" s="4" t="b">
        <f t="shared" si="0"/>
        <v>0</v>
      </c>
      <c r="U26" s="4" t="b">
        <v>0</v>
      </c>
    </row>
    <row r="27" spans="2:21" x14ac:dyDescent="0.25">
      <c r="B27" s="6"/>
      <c r="C27" s="7"/>
      <c r="D27" s="7"/>
      <c r="E27" s="7"/>
      <c r="F27" s="7"/>
      <c r="G27" s="7"/>
      <c r="H27" s="7"/>
      <c r="I27" s="7"/>
      <c r="J27" s="6"/>
      <c r="N27" s="4" t="s">
        <v>141</v>
      </c>
      <c r="O27" s="4" t="b">
        <v>0</v>
      </c>
      <c r="P27" s="4" t="b">
        <v>0</v>
      </c>
      <c r="Q27" s="4" t="b">
        <f t="shared" si="0"/>
        <v>0</v>
      </c>
      <c r="U27" s="4" t="b">
        <v>0</v>
      </c>
    </row>
    <row r="28" spans="2:21" x14ac:dyDescent="0.25">
      <c r="B28" s="6"/>
      <c r="C28" s="7"/>
      <c r="D28" s="7"/>
      <c r="E28" s="7"/>
      <c r="F28" s="7"/>
      <c r="G28" s="7"/>
      <c r="H28" s="7"/>
      <c r="I28" s="7"/>
      <c r="J28" s="6"/>
      <c r="N28" s="4" t="s">
        <v>142</v>
      </c>
      <c r="O28" s="4" t="b">
        <v>0</v>
      </c>
      <c r="P28" s="4" t="b">
        <v>0</v>
      </c>
      <c r="Q28" s="4" t="b">
        <f t="shared" si="0"/>
        <v>0</v>
      </c>
      <c r="U28" s="4" t="b">
        <v>0</v>
      </c>
    </row>
    <row r="29" spans="2:21" x14ac:dyDescent="0.25">
      <c r="B29" s="6"/>
      <c r="C29" s="7"/>
      <c r="D29" s="7"/>
      <c r="E29" s="7"/>
      <c r="F29" s="7"/>
      <c r="G29" s="7"/>
      <c r="H29" s="7"/>
      <c r="I29" s="7"/>
      <c r="J29" s="6"/>
      <c r="N29" s="4" t="s">
        <v>143</v>
      </c>
      <c r="O29" s="4" t="b">
        <v>0</v>
      </c>
      <c r="P29" s="4" t="b">
        <v>0</v>
      </c>
      <c r="Q29" s="4" t="b">
        <f t="shared" si="0"/>
        <v>0</v>
      </c>
      <c r="U29" s="4" t="b">
        <v>0</v>
      </c>
    </row>
    <row r="30" spans="2:21" x14ac:dyDescent="0.25">
      <c r="B30" s="6"/>
      <c r="C30" s="7"/>
      <c r="D30" s="7"/>
      <c r="E30" s="7"/>
      <c r="F30" s="7"/>
      <c r="G30" s="7"/>
      <c r="H30" s="7"/>
      <c r="I30" s="7"/>
      <c r="J30" s="6"/>
      <c r="N30" s="4" t="s">
        <v>144</v>
      </c>
      <c r="O30" s="4" t="b">
        <v>0</v>
      </c>
      <c r="P30" s="4" t="b">
        <v>0</v>
      </c>
      <c r="Q30" s="4" t="b">
        <f t="shared" si="0"/>
        <v>0</v>
      </c>
      <c r="U30" s="4" t="b">
        <v>0</v>
      </c>
    </row>
    <row r="31" spans="2:21" x14ac:dyDescent="0.25">
      <c r="B31" s="6"/>
      <c r="C31" s="7"/>
      <c r="D31" s="7"/>
      <c r="E31" s="7"/>
      <c r="F31" s="7"/>
      <c r="G31" s="7"/>
      <c r="H31" s="7"/>
      <c r="I31" s="7"/>
      <c r="J31" s="6"/>
      <c r="N31" s="4" t="s">
        <v>145</v>
      </c>
      <c r="O31" s="4" t="b">
        <v>0</v>
      </c>
      <c r="P31" s="4" t="b">
        <v>0</v>
      </c>
      <c r="Q31" s="4" t="b">
        <f t="shared" si="0"/>
        <v>0</v>
      </c>
      <c r="U31" s="4" t="b">
        <v>0</v>
      </c>
    </row>
    <row r="32" spans="2:21" x14ac:dyDescent="0.25">
      <c r="B32" s="6"/>
      <c r="C32" s="7"/>
      <c r="D32" s="7"/>
      <c r="E32" s="7"/>
      <c r="F32" s="7"/>
      <c r="G32" s="7"/>
      <c r="H32" s="7"/>
      <c r="I32" s="7"/>
      <c r="J32" s="6"/>
      <c r="N32" s="4" t="s">
        <v>146</v>
      </c>
      <c r="O32" s="4" t="b">
        <v>0</v>
      </c>
      <c r="P32" s="4" t="b">
        <v>0</v>
      </c>
      <c r="Q32" s="4" t="b">
        <f t="shared" si="0"/>
        <v>0</v>
      </c>
      <c r="U32" s="4">
        <v>0</v>
      </c>
    </row>
    <row r="33" spans="2:21" x14ac:dyDescent="0.25">
      <c r="B33" s="6"/>
      <c r="C33" s="7"/>
      <c r="D33" s="7"/>
      <c r="E33" s="7"/>
      <c r="F33" s="7"/>
      <c r="G33" s="7"/>
      <c r="H33" s="7"/>
      <c r="I33" s="7"/>
      <c r="J33" s="6"/>
      <c r="N33" s="4" t="s">
        <v>147</v>
      </c>
      <c r="O33" s="4" t="b">
        <v>0</v>
      </c>
      <c r="P33" s="4" t="b">
        <v>0</v>
      </c>
      <c r="Q33" s="4" t="b">
        <f t="shared" si="0"/>
        <v>0</v>
      </c>
      <c r="U33" s="4">
        <v>0</v>
      </c>
    </row>
    <row r="34" spans="2:21" x14ac:dyDescent="0.25">
      <c r="B34" s="6"/>
      <c r="C34" s="7"/>
      <c r="D34" s="7"/>
      <c r="E34" s="7"/>
      <c r="F34" s="7"/>
      <c r="G34" s="7"/>
      <c r="H34" s="7"/>
      <c r="I34" s="7"/>
      <c r="J34" s="6"/>
      <c r="N34" s="4" t="s">
        <v>224</v>
      </c>
      <c r="O34" s="4" t="b">
        <v>0</v>
      </c>
      <c r="P34" s="4" t="b">
        <v>0</v>
      </c>
      <c r="Q34" s="4" t="b">
        <f t="shared" si="0"/>
        <v>0</v>
      </c>
      <c r="U34" s="4">
        <v>0</v>
      </c>
    </row>
    <row r="35" spans="2:21" x14ac:dyDescent="0.25">
      <c r="B35" s="6"/>
      <c r="C35" s="6"/>
      <c r="D35" s="6"/>
      <c r="E35" s="6"/>
      <c r="F35" s="6"/>
      <c r="G35" s="6"/>
      <c r="H35" s="6"/>
      <c r="I35" s="6"/>
      <c r="J35" s="6"/>
      <c r="N35" s="4" t="s">
        <v>215</v>
      </c>
      <c r="O35" s="4">
        <v>1</v>
      </c>
      <c r="P35" s="4">
        <v>1</v>
      </c>
      <c r="Q35" s="4">
        <f>P35</f>
        <v>1</v>
      </c>
      <c r="U35" s="4">
        <v>0</v>
      </c>
    </row>
    <row r="36" spans="2:21" x14ac:dyDescent="0.25">
      <c r="B36" s="6"/>
      <c r="C36" s="7"/>
      <c r="D36" s="7"/>
      <c r="E36" s="7"/>
      <c r="F36" s="7"/>
      <c r="G36" s="7"/>
      <c r="H36" s="7"/>
      <c r="I36" s="6"/>
      <c r="J36" s="6"/>
      <c r="N36" s="4" t="s">
        <v>148</v>
      </c>
      <c r="O36" s="4" t="s">
        <v>220</v>
      </c>
      <c r="P36" s="4" t="s">
        <v>220</v>
      </c>
      <c r="Q36" s="4">
        <f>IFERROR(INDEX(Options!$A$41:$A$47,Report!P35),"error_result")</f>
        <v>0</v>
      </c>
      <c r="U36" s="4">
        <v>0</v>
      </c>
    </row>
    <row r="37" spans="2:21" x14ac:dyDescent="0.25">
      <c r="B37" s="6"/>
      <c r="C37" s="15"/>
      <c r="D37" s="15"/>
      <c r="E37" s="15"/>
      <c r="F37" s="15"/>
      <c r="G37" s="15"/>
      <c r="H37" s="15"/>
      <c r="I37" s="6"/>
      <c r="J37" s="6"/>
      <c r="N37" s="4" t="s">
        <v>149</v>
      </c>
      <c r="O37" s="4">
        <v>0</v>
      </c>
      <c r="P37" s="4">
        <v>0</v>
      </c>
      <c r="Q37" s="4">
        <f>C37</f>
        <v>0</v>
      </c>
      <c r="U37" s="4">
        <v>0</v>
      </c>
    </row>
    <row r="38" spans="2:21" x14ac:dyDescent="0.25">
      <c r="B38" s="6"/>
      <c r="C38" s="15"/>
      <c r="D38" s="15"/>
      <c r="E38" s="15"/>
      <c r="F38" s="15"/>
      <c r="G38" s="15"/>
      <c r="H38" s="15"/>
      <c r="I38" s="6"/>
      <c r="J38" s="6"/>
      <c r="N38" s="4" t="s">
        <v>150</v>
      </c>
      <c r="O38" s="4">
        <v>0</v>
      </c>
      <c r="P38" s="4">
        <v>0</v>
      </c>
      <c r="Q38" s="4">
        <f>C43</f>
        <v>0</v>
      </c>
      <c r="U38" s="4">
        <v>0</v>
      </c>
    </row>
    <row r="39" spans="2:21" x14ac:dyDescent="0.25">
      <c r="B39" s="6"/>
      <c r="C39" s="15"/>
      <c r="D39" s="15"/>
      <c r="E39" s="15"/>
      <c r="F39" s="15"/>
      <c r="G39" s="15"/>
      <c r="H39" s="15"/>
      <c r="I39" s="6"/>
      <c r="J39" s="6"/>
      <c r="N39" s="4" t="s">
        <v>216</v>
      </c>
      <c r="O39" s="4">
        <v>1</v>
      </c>
      <c r="P39" s="4">
        <v>1</v>
      </c>
      <c r="Q39" s="4">
        <f>P39</f>
        <v>1</v>
      </c>
      <c r="U39" s="4">
        <v>0</v>
      </c>
    </row>
    <row r="40" spans="2:21" x14ac:dyDescent="0.25">
      <c r="B40" s="6"/>
      <c r="C40" s="15"/>
      <c r="D40" s="15"/>
      <c r="E40" s="15"/>
      <c r="F40" s="15"/>
      <c r="G40" s="15"/>
      <c r="H40" s="15"/>
      <c r="I40" s="6"/>
      <c r="J40" s="6"/>
      <c r="N40" s="4" t="s">
        <v>151</v>
      </c>
      <c r="O40" s="4" t="s">
        <v>220</v>
      </c>
      <c r="P40" s="4" t="s">
        <v>220</v>
      </c>
      <c r="Q40" s="4">
        <f>IFERROR(INDEX(Options!A129:A136,Report!P39),"error_result")</f>
        <v>0</v>
      </c>
      <c r="U40" s="4">
        <v>0</v>
      </c>
    </row>
    <row r="41" spans="2:21" x14ac:dyDescent="0.25">
      <c r="B41" s="6"/>
      <c r="C41" s="6"/>
      <c r="D41" s="6"/>
      <c r="E41" s="6"/>
      <c r="F41" s="6"/>
      <c r="G41" s="6"/>
      <c r="H41" s="6"/>
      <c r="I41" s="6"/>
      <c r="J41" s="6"/>
      <c r="N41" s="4" t="s">
        <v>217</v>
      </c>
      <c r="O41" s="4">
        <v>1</v>
      </c>
      <c r="P41" s="4">
        <v>1</v>
      </c>
      <c r="Q41" s="4">
        <f>P41</f>
        <v>1</v>
      </c>
      <c r="U41" s="4">
        <v>0</v>
      </c>
    </row>
    <row r="42" spans="2:21" x14ac:dyDescent="0.25">
      <c r="B42" s="6"/>
      <c r="C42" s="7"/>
      <c r="D42" s="7"/>
      <c r="E42" s="7"/>
      <c r="F42" s="7"/>
      <c r="G42" s="7"/>
      <c r="H42" s="7"/>
      <c r="I42" s="6"/>
      <c r="J42" s="6"/>
      <c r="N42" s="4" t="s">
        <v>152</v>
      </c>
      <c r="O42" s="4" t="s">
        <v>220</v>
      </c>
      <c r="P42" s="4" t="s">
        <v>220</v>
      </c>
      <c r="Q42" s="4">
        <f>IFERROR(INDEX(Options!$A$60:$A$64,Report!P41),"error_result")</f>
        <v>0</v>
      </c>
      <c r="U42" s="4">
        <v>0</v>
      </c>
    </row>
    <row r="43" spans="2:21" x14ac:dyDescent="0.25">
      <c r="B43" s="6"/>
      <c r="C43" s="15"/>
      <c r="D43" s="15"/>
      <c r="E43" s="15"/>
      <c r="F43" s="15"/>
      <c r="G43" s="15"/>
      <c r="H43" s="15"/>
      <c r="I43" s="6"/>
      <c r="J43" s="6"/>
      <c r="N43" s="4" t="s">
        <v>218</v>
      </c>
      <c r="O43" s="4">
        <v>1</v>
      </c>
      <c r="P43" s="4">
        <v>1</v>
      </c>
      <c r="Q43" s="4">
        <f>P43</f>
        <v>1</v>
      </c>
      <c r="U43" s="4" t="b">
        <v>0</v>
      </c>
    </row>
    <row r="44" spans="2:21" x14ac:dyDescent="0.25">
      <c r="B44" s="6"/>
      <c r="C44" s="15"/>
      <c r="D44" s="15"/>
      <c r="E44" s="15"/>
      <c r="F44" s="15"/>
      <c r="G44" s="15"/>
      <c r="H44" s="15"/>
      <c r="I44" s="6"/>
      <c r="J44" s="6"/>
      <c r="N44" s="4" t="s">
        <v>153</v>
      </c>
      <c r="O44" s="4" t="s">
        <v>220</v>
      </c>
      <c r="P44" s="4" t="s">
        <v>220</v>
      </c>
      <c r="Q44" s="4">
        <f>IFERROR(INDEX(Options!$A$66:$A$71,Report!P43),"error_result")</f>
        <v>0</v>
      </c>
      <c r="U44" s="4" t="b">
        <v>0</v>
      </c>
    </row>
    <row r="45" spans="2:21" x14ac:dyDescent="0.25">
      <c r="B45" s="6"/>
      <c r="C45" s="15"/>
      <c r="D45" s="15"/>
      <c r="E45" s="15"/>
      <c r="F45" s="15"/>
      <c r="G45" s="15"/>
      <c r="H45" s="15"/>
      <c r="I45" s="6"/>
      <c r="J45" s="6"/>
      <c r="N45" s="4" t="s">
        <v>219</v>
      </c>
      <c r="O45" s="4">
        <v>1</v>
      </c>
      <c r="P45" s="4">
        <v>1</v>
      </c>
      <c r="Q45" s="4">
        <f>P45</f>
        <v>1</v>
      </c>
      <c r="U45" s="4" t="b">
        <v>0</v>
      </c>
    </row>
    <row r="46" spans="2:21" x14ac:dyDescent="0.25">
      <c r="B46" s="6"/>
      <c r="C46" s="15"/>
      <c r="D46" s="15"/>
      <c r="E46" s="15"/>
      <c r="F46" s="15"/>
      <c r="G46" s="15"/>
      <c r="H46" s="15"/>
      <c r="I46" s="6"/>
      <c r="J46" s="6"/>
      <c r="N46" s="4" t="s">
        <v>154</v>
      </c>
      <c r="O46" s="4" t="s">
        <v>220</v>
      </c>
      <c r="P46" s="4" t="s">
        <v>220</v>
      </c>
      <c r="Q46" s="4">
        <f>IFERROR(INDEX(Options!$A$73:$A$79,Report!P45),"error_result")</f>
        <v>0</v>
      </c>
      <c r="U46" s="4" t="b">
        <v>0</v>
      </c>
    </row>
    <row r="47" spans="2:21" x14ac:dyDescent="0.25">
      <c r="B47" s="6"/>
      <c r="C47" s="6"/>
      <c r="D47" s="6"/>
      <c r="E47" s="6"/>
      <c r="F47" s="6"/>
      <c r="G47" s="6"/>
      <c r="H47" s="6"/>
      <c r="I47" s="6"/>
      <c r="J47" s="6"/>
      <c r="N47" s="4" t="s">
        <v>155</v>
      </c>
      <c r="O47" s="4">
        <v>0</v>
      </c>
      <c r="P47" s="4">
        <v>0</v>
      </c>
      <c r="Q47" s="4">
        <f>E64</f>
        <v>0</v>
      </c>
      <c r="U47" s="4">
        <v>0</v>
      </c>
    </row>
    <row r="48" spans="2:21" x14ac:dyDescent="0.25">
      <c r="B48" s="6"/>
      <c r="C48" s="7"/>
      <c r="D48" s="7"/>
      <c r="E48" s="7"/>
      <c r="F48" s="7"/>
      <c r="G48" s="6"/>
      <c r="H48" s="6"/>
      <c r="I48" s="6"/>
      <c r="J48" s="6"/>
      <c r="N48" s="4" t="s">
        <v>156</v>
      </c>
      <c r="O48" s="4">
        <v>0</v>
      </c>
      <c r="P48" s="4">
        <v>0</v>
      </c>
      <c r="Q48" s="4" t="str">
        <f>F64</f>
        <v/>
      </c>
      <c r="U48" s="4">
        <v>0</v>
      </c>
    </row>
    <row r="49" spans="2:21" x14ac:dyDescent="0.25">
      <c r="B49" s="6"/>
      <c r="C49" s="7"/>
      <c r="D49" s="7"/>
      <c r="E49" s="7"/>
      <c r="F49" s="7"/>
      <c r="G49" s="6"/>
      <c r="H49" s="6"/>
      <c r="I49" s="6"/>
      <c r="J49" s="6"/>
      <c r="N49" s="4" t="s">
        <v>221</v>
      </c>
      <c r="O49" s="4">
        <v>1</v>
      </c>
      <c r="P49" s="4">
        <v>1</v>
      </c>
      <c r="Q49" s="4">
        <f>P49</f>
        <v>1</v>
      </c>
      <c r="U49" s="4">
        <v>0</v>
      </c>
    </row>
    <row r="50" spans="2:21" x14ac:dyDescent="0.25">
      <c r="B50" s="6"/>
      <c r="C50" s="7"/>
      <c r="D50" s="7"/>
      <c r="E50" s="7"/>
      <c r="F50" s="7"/>
      <c r="G50" s="6"/>
      <c r="H50" s="6"/>
      <c r="I50" s="6"/>
      <c r="J50" s="6"/>
      <c r="N50" s="4" t="s">
        <v>157</v>
      </c>
      <c r="O50" s="4" t="s">
        <v>220</v>
      </c>
      <c r="P50" s="4" t="s">
        <v>220</v>
      </c>
      <c r="Q50" s="4" cm="1">
        <f t="array" ref="Q50">INDEX(Options!$A$104:$A$108,Report!P49)</f>
        <v>0</v>
      </c>
      <c r="U50" s="4">
        <v>0</v>
      </c>
    </row>
    <row r="51" spans="2:21" x14ac:dyDescent="0.25">
      <c r="B51" s="6"/>
      <c r="C51" s="6"/>
      <c r="D51" s="6"/>
      <c r="E51" s="6"/>
      <c r="F51" s="6"/>
      <c r="G51" s="6"/>
      <c r="H51" s="6"/>
      <c r="I51" s="6"/>
      <c r="J51" s="6"/>
      <c r="N51" s="4" t="s">
        <v>222</v>
      </c>
      <c r="O51" s="4">
        <v>1</v>
      </c>
      <c r="P51" s="4">
        <v>1</v>
      </c>
      <c r="Q51" s="4">
        <f>P51</f>
        <v>1</v>
      </c>
    </row>
    <row r="52" spans="2:21" x14ac:dyDescent="0.25">
      <c r="B52" s="6"/>
      <c r="C52" s="7"/>
      <c r="D52" s="7"/>
      <c r="E52" s="7"/>
      <c r="F52" s="7"/>
      <c r="G52" s="6"/>
      <c r="H52" s="6"/>
      <c r="I52" s="6"/>
      <c r="J52" s="6"/>
      <c r="N52" s="4" t="s">
        <v>158</v>
      </c>
      <c r="O52" s="4" t="s">
        <v>220</v>
      </c>
      <c r="P52" s="4" t="s">
        <v>220</v>
      </c>
      <c r="Q52" s="4" cm="1">
        <f t="array" ref="Q52">INDEX(Options!$A$110:$A$114,P51)</f>
        <v>0</v>
      </c>
    </row>
    <row r="53" spans="2:21" x14ac:dyDescent="0.25">
      <c r="B53" s="6"/>
      <c r="C53" s="7"/>
      <c r="D53" s="7"/>
      <c r="E53" s="7"/>
      <c r="F53" s="7"/>
      <c r="G53" s="6"/>
      <c r="H53" s="6"/>
      <c r="I53" s="6"/>
      <c r="J53" s="6"/>
      <c r="N53" s="4" t="s">
        <v>223</v>
      </c>
      <c r="O53" s="4">
        <v>1</v>
      </c>
      <c r="P53" s="4">
        <v>1</v>
      </c>
      <c r="Q53" s="4">
        <f>P53</f>
        <v>1</v>
      </c>
    </row>
    <row r="54" spans="2:21" x14ac:dyDescent="0.25">
      <c r="B54" s="6"/>
      <c r="C54" s="7"/>
      <c r="D54" s="7"/>
      <c r="E54" s="7"/>
      <c r="F54" s="7"/>
      <c r="G54" s="6"/>
      <c r="H54" s="6"/>
      <c r="I54" s="6"/>
      <c r="J54" s="6"/>
      <c r="N54" s="4" t="s">
        <v>159</v>
      </c>
      <c r="O54" s="4" t="s">
        <v>220</v>
      </c>
      <c r="P54" s="4" t="s">
        <v>220</v>
      </c>
      <c r="Q54" s="4" cm="1">
        <f t="array" ref="Q54">INDEX(Options!$A$116:$A$119,Report!P53)</f>
        <v>0</v>
      </c>
    </row>
    <row r="55" spans="2:21" x14ac:dyDescent="0.25">
      <c r="B55" s="6"/>
      <c r="C55" s="6"/>
      <c r="D55" s="6"/>
      <c r="E55" s="6"/>
      <c r="F55" s="6"/>
      <c r="G55" s="6"/>
      <c r="H55" s="6"/>
      <c r="I55" s="6"/>
      <c r="J55" s="6"/>
      <c r="N55" s="4" t="s">
        <v>160</v>
      </c>
      <c r="O55" s="4" t="b">
        <v>0</v>
      </c>
      <c r="P55" s="4" t="b">
        <v>0</v>
      </c>
      <c r="Q55" s="4" t="b">
        <f>P55</f>
        <v>0</v>
      </c>
      <c r="U55" s="4">
        <v>0</v>
      </c>
    </row>
    <row r="56" spans="2:21" x14ac:dyDescent="0.25">
      <c r="B56" s="6"/>
      <c r="C56" s="7"/>
      <c r="D56" s="7"/>
      <c r="E56" s="7"/>
      <c r="F56" s="7"/>
      <c r="G56" s="7"/>
      <c r="H56" s="6"/>
      <c r="I56" s="6"/>
      <c r="J56" s="6"/>
      <c r="N56" s="4" t="s">
        <v>161</v>
      </c>
      <c r="O56" s="4" t="b">
        <v>0</v>
      </c>
      <c r="P56" s="4" t="b">
        <v>0</v>
      </c>
      <c r="Q56" s="4" t="b">
        <f t="shared" ref="Q56:Q58" si="1">P56</f>
        <v>0</v>
      </c>
      <c r="U56" s="4">
        <v>0</v>
      </c>
    </row>
    <row r="57" spans="2:21" x14ac:dyDescent="0.25">
      <c r="B57" s="6"/>
      <c r="C57" s="7"/>
      <c r="D57" s="7"/>
      <c r="E57" s="7"/>
      <c r="F57" s="7"/>
      <c r="G57" s="7"/>
      <c r="H57" s="6"/>
      <c r="I57" s="6"/>
      <c r="J57" s="6"/>
      <c r="N57" s="4" t="s">
        <v>162</v>
      </c>
      <c r="O57" s="4" t="b">
        <v>0</v>
      </c>
      <c r="P57" s="4" t="b">
        <v>0</v>
      </c>
      <c r="Q57" s="4" t="b">
        <f t="shared" si="1"/>
        <v>0</v>
      </c>
      <c r="U57" s="4">
        <v>0</v>
      </c>
    </row>
    <row r="58" spans="2:21" x14ac:dyDescent="0.25">
      <c r="B58" s="6"/>
      <c r="C58" s="7"/>
      <c r="D58" s="7"/>
      <c r="E58" s="7"/>
      <c r="F58" s="7"/>
      <c r="G58" s="7"/>
      <c r="H58" s="6"/>
      <c r="I58" s="6"/>
      <c r="J58" s="6"/>
      <c r="N58" s="4" t="s">
        <v>163</v>
      </c>
      <c r="O58" s="4" t="b">
        <v>0</v>
      </c>
      <c r="P58" s="4" t="b">
        <v>0</v>
      </c>
      <c r="Q58" s="4" t="b">
        <f t="shared" si="1"/>
        <v>0</v>
      </c>
      <c r="U58" s="4">
        <v>0</v>
      </c>
    </row>
    <row r="59" spans="2:21" x14ac:dyDescent="0.25">
      <c r="B59" s="6"/>
      <c r="C59" s="7"/>
      <c r="D59" s="7"/>
      <c r="E59" s="7"/>
      <c r="F59" s="7"/>
      <c r="G59" s="7"/>
      <c r="H59" s="6"/>
      <c r="I59" s="6"/>
      <c r="J59" s="6"/>
      <c r="N59" s="4" t="s">
        <v>164</v>
      </c>
      <c r="O59" s="4">
        <v>0</v>
      </c>
      <c r="P59" s="4">
        <v>0</v>
      </c>
      <c r="Q59" s="4">
        <f>IFERROR(E81,"error_result")</f>
        <v>0</v>
      </c>
      <c r="U59" s="4">
        <v>0</v>
      </c>
    </row>
    <row r="60" spans="2:21" x14ac:dyDescent="0.25">
      <c r="B60" s="6"/>
      <c r="C60" s="7"/>
      <c r="D60" s="7"/>
      <c r="E60" s="7"/>
      <c r="F60" s="7"/>
      <c r="G60" s="7"/>
      <c r="H60" s="6"/>
      <c r="I60" s="6"/>
      <c r="J60" s="6"/>
      <c r="N60" s="4" t="s">
        <v>165</v>
      </c>
      <c r="O60" s="4">
        <v>0</v>
      </c>
      <c r="P60" s="4">
        <v>0</v>
      </c>
      <c r="Q60" s="4">
        <f>E87</f>
        <v>0</v>
      </c>
      <c r="U60" s="4">
        <v>0</v>
      </c>
    </row>
    <row r="61" spans="2:21" x14ac:dyDescent="0.25">
      <c r="B61" s="6"/>
      <c r="C61" s="7"/>
      <c r="D61" s="7"/>
      <c r="E61" s="7"/>
      <c r="F61" s="7"/>
      <c r="G61" s="7"/>
      <c r="H61" s="6"/>
      <c r="I61" s="6"/>
      <c r="J61" s="6"/>
      <c r="N61" s="4" t="s">
        <v>166</v>
      </c>
      <c r="O61" s="4">
        <v>0</v>
      </c>
      <c r="P61" s="4">
        <v>0</v>
      </c>
      <c r="Q61" s="4">
        <f>E89</f>
        <v>0</v>
      </c>
      <c r="U61" s="4" t="b">
        <v>0</v>
      </c>
    </row>
    <row r="62" spans="2:21" x14ac:dyDescent="0.25">
      <c r="B62" s="6"/>
      <c r="C62" s="7"/>
      <c r="D62" s="7"/>
      <c r="E62" s="7"/>
      <c r="F62" s="7"/>
      <c r="G62" s="7"/>
      <c r="H62" s="6"/>
      <c r="I62" s="6"/>
      <c r="J62" s="6"/>
      <c r="N62" s="4" t="s">
        <v>167</v>
      </c>
      <c r="O62" s="4">
        <v>0</v>
      </c>
      <c r="P62" s="4">
        <v>0</v>
      </c>
      <c r="Q62" s="4">
        <f>G89</f>
        <v>0</v>
      </c>
      <c r="U62" s="4" t="b">
        <v>0</v>
      </c>
    </row>
    <row r="63" spans="2:21" x14ac:dyDescent="0.25">
      <c r="B63" s="6"/>
      <c r="C63" s="7"/>
      <c r="D63" s="7"/>
      <c r="E63" s="8"/>
      <c r="F63" s="7"/>
      <c r="G63" s="7"/>
      <c r="H63" s="6"/>
      <c r="I63" s="6"/>
      <c r="J63" s="6"/>
      <c r="N63" s="4" t="s">
        <v>168</v>
      </c>
      <c r="O63" s="4">
        <v>0</v>
      </c>
      <c r="P63" s="4">
        <v>0</v>
      </c>
      <c r="Q63" s="4">
        <f>C92</f>
        <v>0</v>
      </c>
      <c r="U63" s="4" t="b">
        <v>0</v>
      </c>
    </row>
    <row r="64" spans="2:21" x14ac:dyDescent="0.25">
      <c r="B64" s="6"/>
      <c r="C64" s="7"/>
      <c r="D64" s="7"/>
      <c r="E64" s="7">
        <f>SUM(R2,R3,R4)</f>
        <v>0</v>
      </c>
      <c r="F64" s="9" t="str">
        <f>IF(E64=0,"",IF(E64&gt;=Options!$A$81,Options!$B$81,IF(E64&gt;=Options!$A$82,Options!$B$82,Options!$B$83)))</f>
        <v/>
      </c>
      <c r="G64" s="7"/>
      <c r="H64" s="6"/>
      <c r="I64" s="6"/>
      <c r="J64" s="6"/>
      <c r="N64" s="4" t="s">
        <v>169</v>
      </c>
      <c r="O64" s="4">
        <v>0</v>
      </c>
      <c r="P64" s="4">
        <v>0</v>
      </c>
      <c r="Q64" s="4">
        <f>C98</f>
        <v>0</v>
      </c>
    </row>
    <row r="65" spans="2:21" x14ac:dyDescent="0.25">
      <c r="B65" s="6"/>
      <c r="C65" s="7"/>
      <c r="D65" s="7"/>
      <c r="E65" s="7"/>
      <c r="F65" s="7"/>
      <c r="G65" s="7"/>
      <c r="H65" s="6"/>
      <c r="I65" s="6"/>
      <c r="J65" s="6"/>
      <c r="N65" s="4" t="s">
        <v>239</v>
      </c>
      <c r="O65" s="4" t="b">
        <v>0</v>
      </c>
      <c r="P65" s="4" t="b">
        <v>0</v>
      </c>
      <c r="Q65" s="4" t="b">
        <f t="shared" ref="Q65" si="2">P65</f>
        <v>0</v>
      </c>
      <c r="U65" s="4" t="b">
        <v>0</v>
      </c>
    </row>
    <row r="66" spans="2:21" x14ac:dyDescent="0.25">
      <c r="B66" s="6"/>
      <c r="C66" s="6"/>
      <c r="D66" s="6"/>
      <c r="E66" s="6"/>
      <c r="F66" s="6"/>
      <c r="G66" s="6"/>
      <c r="H66" s="6"/>
      <c r="I66" s="6"/>
      <c r="J66" s="6"/>
      <c r="N66" s="4" t="s">
        <v>240</v>
      </c>
      <c r="O66" s="4" t="b">
        <v>0</v>
      </c>
      <c r="P66" s="4" t="b">
        <v>0</v>
      </c>
      <c r="Q66" s="4" t="b">
        <f t="shared" ref="Q66:Q91" si="3">P66</f>
        <v>0</v>
      </c>
      <c r="U66" s="4" t="b">
        <v>0</v>
      </c>
    </row>
    <row r="67" spans="2:21" x14ac:dyDescent="0.25">
      <c r="B67" s="6"/>
      <c r="C67" s="7"/>
      <c r="D67" s="7"/>
      <c r="E67" s="7"/>
      <c r="F67" s="7"/>
      <c r="G67" s="7"/>
      <c r="H67" s="7"/>
      <c r="I67" s="7"/>
      <c r="J67" s="6"/>
      <c r="N67" s="4" t="s">
        <v>241</v>
      </c>
      <c r="O67" s="4" t="b">
        <v>0</v>
      </c>
      <c r="P67" s="4" t="b">
        <v>0</v>
      </c>
      <c r="Q67" s="4" t="b">
        <f t="shared" si="3"/>
        <v>0</v>
      </c>
      <c r="U67" s="4">
        <v>0</v>
      </c>
    </row>
    <row r="68" spans="2:21" x14ac:dyDescent="0.25">
      <c r="B68" s="6"/>
      <c r="C68" s="7"/>
      <c r="D68" s="7"/>
      <c r="E68" s="7"/>
      <c r="F68" s="7"/>
      <c r="G68" s="7"/>
      <c r="H68" s="7"/>
      <c r="I68" s="7"/>
      <c r="J68" s="6"/>
      <c r="N68" s="4" t="s">
        <v>242</v>
      </c>
      <c r="O68" s="4" t="b">
        <v>0</v>
      </c>
      <c r="P68" s="4" t="b">
        <v>0</v>
      </c>
      <c r="Q68" s="4" t="b">
        <f t="shared" si="3"/>
        <v>0</v>
      </c>
      <c r="U68" s="4">
        <v>0</v>
      </c>
    </row>
    <row r="69" spans="2:21" x14ac:dyDescent="0.25">
      <c r="B69" s="6"/>
      <c r="C69" s="7"/>
      <c r="D69" s="7"/>
      <c r="E69" s="7"/>
      <c r="F69" s="7"/>
      <c r="G69" s="7"/>
      <c r="H69" s="7"/>
      <c r="I69" s="7"/>
      <c r="J69" s="6"/>
      <c r="N69" s="4" t="s">
        <v>243</v>
      </c>
      <c r="O69" s="4" t="b">
        <v>0</v>
      </c>
      <c r="P69" s="4" t="b">
        <v>0</v>
      </c>
      <c r="Q69" s="4" t="b">
        <f t="shared" si="3"/>
        <v>0</v>
      </c>
      <c r="U69" s="4">
        <v>0</v>
      </c>
    </row>
    <row r="70" spans="2:21" x14ac:dyDescent="0.25">
      <c r="B70" s="6"/>
      <c r="C70" s="7"/>
      <c r="D70" s="7"/>
      <c r="E70" s="7"/>
      <c r="F70" s="7"/>
      <c r="G70" s="7"/>
      <c r="H70" s="7"/>
      <c r="I70" s="7"/>
      <c r="J70" s="6"/>
      <c r="N70" s="4" t="s">
        <v>244</v>
      </c>
      <c r="O70" s="4" t="b">
        <v>0</v>
      </c>
      <c r="P70" s="4" t="b">
        <v>0</v>
      </c>
      <c r="Q70" s="4" t="b">
        <f t="shared" si="3"/>
        <v>0</v>
      </c>
      <c r="U70" s="4">
        <v>0</v>
      </c>
    </row>
    <row r="71" spans="2:21" x14ac:dyDescent="0.25">
      <c r="B71" s="6"/>
      <c r="C71" s="7"/>
      <c r="D71" s="7"/>
      <c r="E71" s="7"/>
      <c r="F71" s="7"/>
      <c r="G71" s="7"/>
      <c r="H71" s="7"/>
      <c r="I71" s="7"/>
      <c r="J71" s="6"/>
      <c r="N71" s="4" t="s">
        <v>245</v>
      </c>
      <c r="O71" s="4" t="b">
        <v>0</v>
      </c>
      <c r="P71" s="4" t="b">
        <v>0</v>
      </c>
      <c r="Q71" s="4" t="b">
        <f t="shared" si="3"/>
        <v>0</v>
      </c>
      <c r="U71" s="4">
        <v>0</v>
      </c>
    </row>
    <row r="72" spans="2:21" x14ac:dyDescent="0.25">
      <c r="B72" s="6"/>
      <c r="C72" s="7"/>
      <c r="D72" s="7"/>
      <c r="E72" s="7"/>
      <c r="F72" s="7"/>
      <c r="G72" s="7"/>
      <c r="H72" s="7"/>
      <c r="I72" s="7"/>
      <c r="J72" s="6"/>
      <c r="N72" s="4" t="s">
        <v>246</v>
      </c>
      <c r="O72" s="4" t="b">
        <v>0</v>
      </c>
      <c r="P72" s="4" t="b">
        <v>0</v>
      </c>
      <c r="Q72" s="4" t="b">
        <f t="shared" si="3"/>
        <v>0</v>
      </c>
      <c r="U72" s="4" t="b">
        <v>0</v>
      </c>
    </row>
    <row r="73" spans="2:21" x14ac:dyDescent="0.25">
      <c r="B73" s="6"/>
      <c r="C73" s="7"/>
      <c r="D73" s="7"/>
      <c r="E73" s="7"/>
      <c r="F73" s="7"/>
      <c r="G73" s="7"/>
      <c r="H73" s="7"/>
      <c r="I73" s="7"/>
      <c r="J73" s="6"/>
      <c r="N73" s="4" t="s">
        <v>247</v>
      </c>
      <c r="O73" s="4" t="b">
        <v>0</v>
      </c>
      <c r="P73" s="4" t="b">
        <v>0</v>
      </c>
      <c r="Q73" s="4" t="b">
        <f t="shared" si="3"/>
        <v>0</v>
      </c>
      <c r="U73" s="4" t="b">
        <v>0</v>
      </c>
    </row>
    <row r="74" spans="2:21" x14ac:dyDescent="0.25">
      <c r="B74" s="6"/>
      <c r="C74" s="6"/>
      <c r="D74" s="6"/>
      <c r="E74" s="6"/>
      <c r="F74" s="6"/>
      <c r="G74" s="6"/>
      <c r="H74" s="6"/>
      <c r="I74" s="6"/>
      <c r="J74" s="6"/>
      <c r="N74" s="4" t="s">
        <v>248</v>
      </c>
      <c r="O74" s="4" t="b">
        <v>0</v>
      </c>
      <c r="P74" s="4" t="b">
        <v>0</v>
      </c>
      <c r="Q74" s="4" t="b">
        <f t="shared" si="3"/>
        <v>0</v>
      </c>
      <c r="U74" s="4" t="b">
        <v>0</v>
      </c>
    </row>
    <row r="75" spans="2:21" x14ac:dyDescent="0.25">
      <c r="B75" s="6"/>
      <c r="C75" s="7"/>
      <c r="D75" s="7"/>
      <c r="E75" s="7"/>
      <c r="F75" s="6"/>
      <c r="G75" s="6"/>
      <c r="H75" s="6"/>
      <c r="I75" s="6"/>
      <c r="J75" s="6"/>
      <c r="N75" s="4" t="s">
        <v>249</v>
      </c>
      <c r="O75" s="4" t="b">
        <v>0</v>
      </c>
      <c r="P75" s="4" t="b">
        <v>0</v>
      </c>
      <c r="Q75" s="4" t="b">
        <f t="shared" si="3"/>
        <v>0</v>
      </c>
      <c r="U75" s="4" t="b">
        <v>0</v>
      </c>
    </row>
    <row r="76" spans="2:21" x14ac:dyDescent="0.25">
      <c r="B76" s="6"/>
      <c r="C76" s="7"/>
      <c r="D76" s="7"/>
      <c r="E76" s="7"/>
      <c r="F76" s="6"/>
      <c r="G76" s="6"/>
      <c r="H76" s="6"/>
      <c r="I76" s="6"/>
      <c r="J76" s="6"/>
      <c r="N76" s="4" t="s">
        <v>250</v>
      </c>
      <c r="O76" s="4" t="b">
        <v>0</v>
      </c>
      <c r="P76" s="4" t="b">
        <v>0</v>
      </c>
      <c r="Q76" s="4" t="b">
        <f t="shared" si="3"/>
        <v>0</v>
      </c>
      <c r="U76" s="4" t="b">
        <v>0</v>
      </c>
    </row>
    <row r="77" spans="2:21" x14ac:dyDescent="0.25">
      <c r="B77" s="6"/>
      <c r="C77" s="7"/>
      <c r="D77" s="7"/>
      <c r="E77" s="7"/>
      <c r="F77" s="6"/>
      <c r="G77" s="6"/>
      <c r="H77" s="6"/>
      <c r="I77" s="6"/>
      <c r="J77" s="6"/>
      <c r="N77" s="4" t="s">
        <v>251</v>
      </c>
      <c r="O77" s="4" t="b">
        <v>0</v>
      </c>
      <c r="P77" s="4" t="b">
        <v>0</v>
      </c>
      <c r="Q77" s="4" t="b">
        <f t="shared" si="3"/>
        <v>0</v>
      </c>
      <c r="U77" s="4" t="b">
        <v>0</v>
      </c>
    </row>
    <row r="78" spans="2:21" x14ac:dyDescent="0.25">
      <c r="B78" s="6"/>
      <c r="C78" s="7"/>
      <c r="D78" s="7"/>
      <c r="E78" s="7"/>
      <c r="F78" s="6"/>
      <c r="G78" s="6"/>
      <c r="H78" s="6"/>
      <c r="I78" s="6"/>
      <c r="J78" s="6"/>
      <c r="N78" s="4" t="s">
        <v>252</v>
      </c>
      <c r="O78" s="4" t="b">
        <v>0</v>
      </c>
      <c r="P78" s="4" t="b">
        <v>0</v>
      </c>
      <c r="Q78" s="4" t="b">
        <f t="shared" si="3"/>
        <v>0</v>
      </c>
      <c r="U78" s="4" t="b">
        <v>0</v>
      </c>
    </row>
    <row r="79" spans="2:21" x14ac:dyDescent="0.25">
      <c r="B79" s="6"/>
      <c r="C79" s="7"/>
      <c r="D79" s="7"/>
      <c r="E79" s="7"/>
      <c r="F79" s="6"/>
      <c r="G79" s="6"/>
      <c r="H79" s="6"/>
      <c r="I79" s="6"/>
      <c r="J79" s="6"/>
      <c r="N79" s="4" t="s">
        <v>253</v>
      </c>
      <c r="O79" s="4" t="b">
        <v>0</v>
      </c>
      <c r="P79" s="4" t="b">
        <v>0</v>
      </c>
      <c r="Q79" s="4" t="b">
        <f t="shared" si="3"/>
        <v>0</v>
      </c>
      <c r="U79" s="4" t="b">
        <v>0</v>
      </c>
    </row>
    <row r="80" spans="2:21" x14ac:dyDescent="0.25">
      <c r="B80" s="6"/>
      <c r="C80" s="7"/>
      <c r="D80" s="7"/>
      <c r="E80" s="7"/>
      <c r="F80" s="6"/>
      <c r="G80" s="6"/>
      <c r="H80" s="6"/>
      <c r="I80" s="6"/>
      <c r="J80" s="6"/>
      <c r="N80" s="4" t="s">
        <v>254</v>
      </c>
      <c r="O80" s="4" t="b">
        <v>0</v>
      </c>
      <c r="P80" s="4" t="b">
        <v>0</v>
      </c>
      <c r="Q80" s="4" t="b">
        <f t="shared" si="3"/>
        <v>0</v>
      </c>
      <c r="U80" s="4" t="b">
        <v>0</v>
      </c>
    </row>
    <row r="81" spans="2:21" x14ac:dyDescent="0.25">
      <c r="B81" s="6"/>
      <c r="C81" s="7"/>
      <c r="D81" s="7"/>
      <c r="E81" s="7">
        <f>COUNTIF(P55:P58,TRUE)</f>
        <v>0</v>
      </c>
      <c r="F81" s="6"/>
      <c r="G81" s="6"/>
      <c r="H81" s="6"/>
      <c r="I81" s="6"/>
      <c r="J81" s="6"/>
      <c r="N81" s="4" t="s">
        <v>255</v>
      </c>
      <c r="O81" s="4" t="b">
        <v>0</v>
      </c>
      <c r="P81" s="4" t="b">
        <v>0</v>
      </c>
      <c r="Q81" s="4" t="b">
        <f t="shared" si="3"/>
        <v>0</v>
      </c>
      <c r="U81" s="4" t="b">
        <v>0</v>
      </c>
    </row>
    <row r="82" spans="2:21" x14ac:dyDescent="0.25">
      <c r="B82" s="6"/>
      <c r="C82" s="6"/>
      <c r="D82" s="6"/>
      <c r="E82" s="6"/>
      <c r="F82" s="6"/>
      <c r="G82" s="6"/>
      <c r="H82" s="6"/>
      <c r="I82" s="6"/>
      <c r="J82" s="6"/>
      <c r="N82" s="4" t="s">
        <v>256</v>
      </c>
      <c r="O82" s="4" t="b">
        <v>0</v>
      </c>
      <c r="P82" s="4" t="b">
        <v>0</v>
      </c>
      <c r="Q82" s="4" t="b">
        <f t="shared" si="3"/>
        <v>0</v>
      </c>
      <c r="U82" s="4" t="b">
        <v>0</v>
      </c>
    </row>
    <row r="83" spans="2:21" x14ac:dyDescent="0.25">
      <c r="N83" s="4" t="s">
        <v>257</v>
      </c>
      <c r="O83" s="4" t="b">
        <v>0</v>
      </c>
      <c r="P83" s="4" t="b">
        <v>0</v>
      </c>
      <c r="Q83" s="4" t="b">
        <f t="shared" si="3"/>
        <v>0</v>
      </c>
      <c r="U83" s="4" t="b">
        <v>0</v>
      </c>
    </row>
    <row r="84" spans="2:21" x14ac:dyDescent="0.25">
      <c r="B84" s="6"/>
      <c r="C84" s="6"/>
      <c r="D84" s="6"/>
      <c r="E84" s="6"/>
      <c r="F84" s="6"/>
      <c r="G84" s="6"/>
      <c r="H84" s="6"/>
      <c r="I84" s="6"/>
      <c r="J84" s="6"/>
      <c r="N84" s="4" t="s">
        <v>258</v>
      </c>
      <c r="O84" s="4" t="b">
        <v>0</v>
      </c>
      <c r="P84" s="4" t="b">
        <v>0</v>
      </c>
      <c r="Q84" s="4" t="b">
        <f t="shared" si="3"/>
        <v>0</v>
      </c>
      <c r="U84" s="4" t="b">
        <v>0</v>
      </c>
    </row>
    <row r="85" spans="2:21" x14ac:dyDescent="0.25">
      <c r="B85" s="6"/>
      <c r="C85" s="6"/>
      <c r="D85" s="6"/>
      <c r="E85" s="6"/>
      <c r="F85" s="6"/>
      <c r="G85" s="6"/>
      <c r="H85" s="6"/>
      <c r="I85" s="6"/>
      <c r="J85" s="6"/>
      <c r="N85" s="4" t="s">
        <v>259</v>
      </c>
      <c r="O85" s="4" t="b">
        <v>0</v>
      </c>
      <c r="P85" s="4" t="b">
        <v>0</v>
      </c>
      <c r="Q85" s="4" t="b">
        <f t="shared" si="3"/>
        <v>0</v>
      </c>
    </row>
    <row r="86" spans="2:21" x14ac:dyDescent="0.25">
      <c r="B86" s="6"/>
      <c r="C86" s="7"/>
      <c r="D86" s="7"/>
      <c r="E86" s="7"/>
      <c r="F86" s="7"/>
      <c r="G86" s="7"/>
      <c r="H86" s="7"/>
      <c r="I86" s="6"/>
      <c r="J86" s="6"/>
      <c r="N86" s="4" t="s">
        <v>260</v>
      </c>
      <c r="O86" s="4" t="b">
        <v>0</v>
      </c>
      <c r="P86" s="4" t="b">
        <v>0</v>
      </c>
      <c r="Q86" s="4" t="b">
        <f t="shared" si="3"/>
        <v>0</v>
      </c>
    </row>
    <row r="87" spans="2:21" x14ac:dyDescent="0.25">
      <c r="B87" s="6"/>
      <c r="C87" s="7"/>
      <c r="D87" s="7"/>
      <c r="E87" s="14"/>
      <c r="F87" s="7"/>
      <c r="G87" s="7"/>
      <c r="H87" s="7"/>
      <c r="I87" s="6"/>
      <c r="J87" s="6"/>
      <c r="N87" s="4" t="s">
        <v>261</v>
      </c>
      <c r="O87" s="4" t="b">
        <v>0</v>
      </c>
      <c r="P87" s="4" t="b">
        <v>0</v>
      </c>
      <c r="Q87" s="4" t="b">
        <f t="shared" si="3"/>
        <v>0</v>
      </c>
    </row>
    <row r="88" spans="2:21" x14ac:dyDescent="0.25">
      <c r="B88" s="6"/>
      <c r="C88" s="7"/>
      <c r="D88" s="7"/>
      <c r="E88" s="7"/>
      <c r="F88" s="7"/>
      <c r="G88" s="7"/>
      <c r="H88" s="7"/>
      <c r="I88" s="6"/>
      <c r="J88" s="6"/>
      <c r="N88" s="4" t="s">
        <v>262</v>
      </c>
      <c r="O88" s="4" t="b">
        <v>0</v>
      </c>
      <c r="P88" s="4" t="b">
        <v>0</v>
      </c>
      <c r="Q88" s="4" t="b">
        <f t="shared" si="3"/>
        <v>0</v>
      </c>
    </row>
    <row r="89" spans="2:21" x14ac:dyDescent="0.25">
      <c r="B89" s="6"/>
      <c r="C89" s="7"/>
      <c r="D89" s="7"/>
      <c r="E89" s="14"/>
      <c r="F89" s="7"/>
      <c r="G89" s="14"/>
      <c r="H89" s="7"/>
      <c r="I89" s="6"/>
      <c r="J89" s="6"/>
      <c r="N89" s="4" t="s">
        <v>263</v>
      </c>
      <c r="O89" s="4" t="b">
        <v>0</v>
      </c>
      <c r="P89" s="4" t="b">
        <v>0</v>
      </c>
      <c r="Q89" s="4" t="b">
        <f t="shared" si="3"/>
        <v>0</v>
      </c>
    </row>
    <row r="90" spans="2:21" x14ac:dyDescent="0.25">
      <c r="B90" s="6"/>
      <c r="C90" s="7"/>
      <c r="D90" s="7"/>
      <c r="E90" s="7"/>
      <c r="F90" s="7"/>
      <c r="G90" s="7"/>
      <c r="H90" s="7"/>
      <c r="I90" s="6"/>
      <c r="J90" s="6"/>
      <c r="N90" s="4" t="s">
        <v>264</v>
      </c>
      <c r="O90" s="4" t="b">
        <v>0</v>
      </c>
      <c r="P90" s="4" t="b">
        <v>0</v>
      </c>
      <c r="Q90" s="4" t="b">
        <f t="shared" si="3"/>
        <v>0</v>
      </c>
    </row>
    <row r="91" spans="2:21" x14ac:dyDescent="0.25">
      <c r="B91" s="6"/>
      <c r="C91" s="7"/>
      <c r="D91" s="7"/>
      <c r="E91" s="7"/>
      <c r="F91" s="7"/>
      <c r="G91" s="7"/>
      <c r="H91" s="7"/>
      <c r="I91" s="6"/>
      <c r="J91" s="6"/>
      <c r="N91" s="4" t="s">
        <v>265</v>
      </c>
      <c r="O91" s="4" t="b">
        <v>0</v>
      </c>
      <c r="P91" s="4" t="b">
        <v>0</v>
      </c>
      <c r="Q91" s="4" t="b">
        <f t="shared" si="3"/>
        <v>0</v>
      </c>
    </row>
    <row r="92" spans="2:21" x14ac:dyDescent="0.25">
      <c r="B92" s="6"/>
      <c r="C92" s="16"/>
      <c r="D92" s="16"/>
      <c r="E92" s="16"/>
      <c r="F92" s="16"/>
      <c r="G92" s="16"/>
      <c r="H92" s="16"/>
      <c r="I92" s="6"/>
      <c r="J92" s="6"/>
      <c r="N92" s="4" t="s">
        <v>266</v>
      </c>
      <c r="O92" s="4">
        <v>0</v>
      </c>
      <c r="P92" s="4">
        <v>0</v>
      </c>
      <c r="Q92" s="4">
        <f>C119</f>
        <v>0</v>
      </c>
    </row>
    <row r="93" spans="2:21" x14ac:dyDescent="0.25">
      <c r="B93" s="6"/>
      <c r="C93" s="16"/>
      <c r="D93" s="16"/>
      <c r="E93" s="16"/>
      <c r="F93" s="16"/>
      <c r="G93" s="16"/>
      <c r="H93" s="16"/>
      <c r="I93" s="6"/>
      <c r="J93" s="6"/>
      <c r="N93" s="4" t="s">
        <v>267</v>
      </c>
      <c r="O93" s="4">
        <v>1</v>
      </c>
      <c r="P93" s="4">
        <v>1</v>
      </c>
      <c r="Q93" s="4">
        <f>P93</f>
        <v>1</v>
      </c>
    </row>
    <row r="94" spans="2:21" x14ac:dyDescent="0.25">
      <c r="B94" s="6"/>
      <c r="C94" s="16"/>
      <c r="D94" s="16"/>
      <c r="E94" s="16"/>
      <c r="F94" s="16"/>
      <c r="G94" s="16"/>
      <c r="H94" s="16"/>
      <c r="I94" s="6"/>
      <c r="J94" s="6"/>
      <c r="N94" s="4" t="s">
        <v>268</v>
      </c>
      <c r="O94" s="4" t="s">
        <v>220</v>
      </c>
      <c r="P94" s="4" t="s">
        <v>220</v>
      </c>
      <c r="Q94" s="4">
        <f>IFERROR(INDEX(Options!$A$41:$A$47,Report!P93),"error_result")</f>
        <v>0</v>
      </c>
    </row>
    <row r="95" spans="2:21" x14ac:dyDescent="0.25">
      <c r="B95" s="6"/>
      <c r="C95" s="16"/>
      <c r="D95" s="16"/>
      <c r="E95" s="16"/>
      <c r="F95" s="16"/>
      <c r="G95" s="16"/>
      <c r="H95" s="16"/>
      <c r="I95" s="6"/>
      <c r="J95" s="6"/>
      <c r="N95" s="4" t="s">
        <v>269</v>
      </c>
      <c r="O95" s="4">
        <v>1</v>
      </c>
      <c r="P95" s="4">
        <v>1</v>
      </c>
      <c r="Q95" s="4">
        <f>P95</f>
        <v>1</v>
      </c>
    </row>
    <row r="96" spans="2:21" x14ac:dyDescent="0.25">
      <c r="B96" s="6"/>
      <c r="C96" s="16"/>
      <c r="D96" s="16"/>
      <c r="E96" s="16"/>
      <c r="F96" s="16"/>
      <c r="G96" s="16"/>
      <c r="H96" s="16"/>
      <c r="I96" s="6"/>
      <c r="J96" s="6"/>
      <c r="N96" s="4" t="s">
        <v>270</v>
      </c>
      <c r="O96" s="4" t="s">
        <v>220</v>
      </c>
      <c r="P96" s="4" t="s">
        <v>220</v>
      </c>
      <c r="Q96" s="4">
        <f>IFERROR(INDEX(Options!A129:A136,Report!P95),"error_result")</f>
        <v>0</v>
      </c>
    </row>
    <row r="97" spans="2:17" x14ac:dyDescent="0.25">
      <c r="B97" s="6"/>
      <c r="C97" s="7"/>
      <c r="D97" s="7"/>
      <c r="E97" s="7"/>
      <c r="F97" s="7"/>
      <c r="G97" s="7"/>
      <c r="H97" s="7"/>
      <c r="I97" s="6"/>
      <c r="J97" s="6"/>
      <c r="N97" s="4" t="s">
        <v>271</v>
      </c>
      <c r="O97" s="4">
        <v>1</v>
      </c>
      <c r="P97" s="4">
        <v>1</v>
      </c>
      <c r="Q97" s="4">
        <f>P97</f>
        <v>1</v>
      </c>
    </row>
    <row r="98" spans="2:17" x14ac:dyDescent="0.25">
      <c r="B98" s="6"/>
      <c r="C98" s="16"/>
      <c r="D98" s="16"/>
      <c r="E98" s="16"/>
      <c r="F98" s="16"/>
      <c r="G98" s="16"/>
      <c r="H98" s="16"/>
      <c r="I98" s="6"/>
      <c r="J98" s="6"/>
      <c r="N98" s="4" t="s">
        <v>272</v>
      </c>
      <c r="O98" s="4" t="s">
        <v>220</v>
      </c>
      <c r="P98" s="4" t="s">
        <v>220</v>
      </c>
      <c r="Q98" s="4">
        <f>IFERROR(INDEX(Options!$A$60:$A$64,Report!P97),"error_result")</f>
        <v>0</v>
      </c>
    </row>
    <row r="99" spans="2:17" x14ac:dyDescent="0.25">
      <c r="B99" s="6"/>
      <c r="C99" s="16"/>
      <c r="D99" s="16"/>
      <c r="E99" s="16"/>
      <c r="F99" s="16"/>
      <c r="G99" s="16"/>
      <c r="H99" s="16"/>
      <c r="I99" s="6"/>
      <c r="J99" s="6"/>
      <c r="N99" s="4" t="s">
        <v>273</v>
      </c>
      <c r="O99" s="4">
        <v>1</v>
      </c>
      <c r="P99" s="4">
        <v>1</v>
      </c>
      <c r="Q99" s="4">
        <f>P99</f>
        <v>1</v>
      </c>
    </row>
    <row r="100" spans="2:17" x14ac:dyDescent="0.25">
      <c r="B100" s="6"/>
      <c r="C100" s="16"/>
      <c r="D100" s="16"/>
      <c r="E100" s="16"/>
      <c r="F100" s="16"/>
      <c r="G100" s="16"/>
      <c r="H100" s="16"/>
      <c r="I100" s="6"/>
      <c r="J100" s="6"/>
      <c r="N100" s="4" t="s">
        <v>274</v>
      </c>
      <c r="O100" s="4" t="s">
        <v>220</v>
      </c>
      <c r="P100" s="4" t="s">
        <v>220</v>
      </c>
      <c r="Q100" s="4">
        <f>IFERROR(INDEX(Options!$A$66:$A$71,Report!P99),"error_result")</f>
        <v>0</v>
      </c>
    </row>
    <row r="101" spans="2:17" x14ac:dyDescent="0.25">
      <c r="B101" s="6"/>
      <c r="C101" s="16"/>
      <c r="D101" s="16"/>
      <c r="E101" s="16"/>
      <c r="F101" s="16"/>
      <c r="G101" s="16"/>
      <c r="H101" s="16"/>
      <c r="I101" s="6"/>
      <c r="J101" s="6"/>
      <c r="N101" s="4" t="s">
        <v>275</v>
      </c>
      <c r="O101" s="4">
        <v>1</v>
      </c>
      <c r="P101" s="4">
        <v>1</v>
      </c>
      <c r="Q101" s="4">
        <f>P101</f>
        <v>1</v>
      </c>
    </row>
    <row r="102" spans="2:17" x14ac:dyDescent="0.25">
      <c r="B102" s="6"/>
      <c r="C102" s="16"/>
      <c r="D102" s="16"/>
      <c r="E102" s="16"/>
      <c r="F102" s="16"/>
      <c r="G102" s="16"/>
      <c r="H102" s="16"/>
      <c r="I102" s="6"/>
      <c r="J102" s="6"/>
      <c r="N102" s="4" t="s">
        <v>276</v>
      </c>
      <c r="O102" s="4" t="s">
        <v>220</v>
      </c>
      <c r="P102" s="4" t="s">
        <v>220</v>
      </c>
      <c r="Q102" s="4">
        <f>IFERROR(INDEX(Options!$A$73:$A$79,Report!P101),"error_result")</f>
        <v>0</v>
      </c>
    </row>
    <row r="103" spans="2:17" x14ac:dyDescent="0.25">
      <c r="B103" s="6"/>
      <c r="C103" s="7"/>
      <c r="D103" s="7"/>
      <c r="E103" s="7"/>
      <c r="F103" s="7"/>
      <c r="G103" s="7"/>
      <c r="H103" s="7"/>
      <c r="I103" s="6"/>
      <c r="J103" s="6"/>
      <c r="N103" s="4" t="s">
        <v>277</v>
      </c>
      <c r="O103" s="4">
        <v>0</v>
      </c>
      <c r="P103" s="4">
        <v>0</v>
      </c>
      <c r="Q103" s="4">
        <f>E140</f>
        <v>0</v>
      </c>
    </row>
    <row r="104" spans="2:17" x14ac:dyDescent="0.25">
      <c r="B104" s="6"/>
      <c r="C104" s="6"/>
      <c r="D104" s="6"/>
      <c r="E104" s="6"/>
      <c r="F104" s="6"/>
      <c r="G104" s="6"/>
      <c r="H104" s="6"/>
      <c r="I104" s="6"/>
      <c r="J104" s="6"/>
      <c r="N104" s="4" t="s">
        <v>278</v>
      </c>
      <c r="O104" s="4">
        <v>0</v>
      </c>
      <c r="P104" s="4">
        <v>0</v>
      </c>
      <c r="Q104" s="4">
        <f>F139</f>
        <v>0</v>
      </c>
    </row>
    <row r="105" spans="2:17" x14ac:dyDescent="0.25">
      <c r="B105" s="6"/>
      <c r="C105" s="7"/>
      <c r="D105" s="7"/>
      <c r="E105" s="7"/>
      <c r="F105" s="7"/>
      <c r="G105" s="7"/>
      <c r="H105" s="7"/>
      <c r="I105" s="7"/>
      <c r="J105" s="6"/>
      <c r="N105" s="4" t="s">
        <v>279</v>
      </c>
      <c r="O105" s="4">
        <v>1</v>
      </c>
      <c r="P105" s="4">
        <v>1</v>
      </c>
      <c r="Q105" s="4">
        <f>P105</f>
        <v>1</v>
      </c>
    </row>
    <row r="106" spans="2:17" x14ac:dyDescent="0.25">
      <c r="B106" s="6"/>
      <c r="C106" s="7"/>
      <c r="D106" s="7"/>
      <c r="E106" s="7"/>
      <c r="F106" s="7"/>
      <c r="G106" s="7"/>
      <c r="H106" s="7"/>
      <c r="I106" s="7"/>
      <c r="J106" s="6"/>
      <c r="N106" s="4" t="s">
        <v>280</v>
      </c>
      <c r="O106" s="4" t="s">
        <v>220</v>
      </c>
      <c r="P106" s="4" t="s">
        <v>220</v>
      </c>
      <c r="Q106" s="4" cm="1">
        <f t="array" ref="Q106">INDEX(Options!$A$104:$A$108,Report!P105)</f>
        <v>0</v>
      </c>
    </row>
    <row r="107" spans="2:17" x14ac:dyDescent="0.25">
      <c r="B107" s="6"/>
      <c r="C107" s="7"/>
      <c r="D107" s="7"/>
      <c r="E107" s="7"/>
      <c r="F107" s="7"/>
      <c r="G107" s="7"/>
      <c r="H107" s="7"/>
      <c r="I107" s="7"/>
      <c r="J107" s="6"/>
      <c r="N107" s="4" t="s">
        <v>281</v>
      </c>
      <c r="O107" s="4">
        <v>1</v>
      </c>
      <c r="P107" s="4">
        <v>1</v>
      </c>
      <c r="Q107" s="4">
        <f>P107</f>
        <v>1</v>
      </c>
    </row>
    <row r="108" spans="2:17" x14ac:dyDescent="0.25">
      <c r="B108" s="6"/>
      <c r="C108" s="7"/>
      <c r="D108" s="7"/>
      <c r="E108" s="7"/>
      <c r="F108" s="7"/>
      <c r="G108" s="7"/>
      <c r="H108" s="7"/>
      <c r="I108" s="7"/>
      <c r="J108" s="6"/>
      <c r="N108" s="4" t="s">
        <v>282</v>
      </c>
      <c r="O108" s="4" t="s">
        <v>220</v>
      </c>
      <c r="P108" s="4" t="s">
        <v>220</v>
      </c>
      <c r="Q108" s="4" cm="1">
        <f t="array" ref="Q108">INDEX(Options!$A$110:$A$114,P107)</f>
        <v>0</v>
      </c>
    </row>
    <row r="109" spans="2:17" x14ac:dyDescent="0.25">
      <c r="B109" s="6"/>
      <c r="C109" s="7"/>
      <c r="D109" s="7"/>
      <c r="E109" s="7"/>
      <c r="F109" s="7"/>
      <c r="G109" s="7"/>
      <c r="H109" s="7"/>
      <c r="I109" s="7"/>
      <c r="J109" s="6"/>
      <c r="N109" s="4" t="s">
        <v>283</v>
      </c>
      <c r="O109" s="4">
        <v>1</v>
      </c>
      <c r="P109" s="4">
        <v>1</v>
      </c>
      <c r="Q109" s="4">
        <f>P109</f>
        <v>1</v>
      </c>
    </row>
    <row r="110" spans="2:17" x14ac:dyDescent="0.25">
      <c r="B110" s="6"/>
      <c r="C110" s="7"/>
      <c r="D110" s="7"/>
      <c r="E110" s="7"/>
      <c r="F110" s="7"/>
      <c r="G110" s="7"/>
      <c r="H110" s="7"/>
      <c r="I110" s="7"/>
      <c r="J110" s="6"/>
      <c r="N110" s="4" t="s">
        <v>284</v>
      </c>
      <c r="O110" s="4" t="s">
        <v>220</v>
      </c>
      <c r="P110" s="4" t="s">
        <v>220</v>
      </c>
      <c r="Q110" s="4" cm="1">
        <f t="array" ref="Q110">INDEX(Options!$A$116:$A$119,Report!P109)</f>
        <v>0</v>
      </c>
    </row>
    <row r="111" spans="2:17" x14ac:dyDescent="0.25">
      <c r="B111" s="6"/>
      <c r="C111" s="7"/>
      <c r="D111" s="7"/>
      <c r="E111" s="7"/>
      <c r="F111" s="7"/>
      <c r="G111" s="7"/>
      <c r="H111" s="7"/>
      <c r="I111" s="7"/>
      <c r="J111" s="6"/>
      <c r="N111" s="4" t="s">
        <v>285</v>
      </c>
      <c r="O111" s="4" t="b">
        <v>0</v>
      </c>
      <c r="P111" s="4" t="b">
        <v>0</v>
      </c>
      <c r="Q111" s="4" t="b">
        <f>P111</f>
        <v>0</v>
      </c>
    </row>
    <row r="112" spans="2:17" x14ac:dyDescent="0.25">
      <c r="B112" s="6"/>
      <c r="C112" s="7"/>
      <c r="D112" s="7"/>
      <c r="E112" s="7"/>
      <c r="F112" s="7"/>
      <c r="G112" s="7"/>
      <c r="H112" s="7"/>
      <c r="I112" s="7"/>
      <c r="J112" s="6"/>
      <c r="N112" s="4" t="s">
        <v>286</v>
      </c>
      <c r="O112" s="4" t="b">
        <v>0</v>
      </c>
      <c r="P112" s="4" t="b">
        <v>0</v>
      </c>
      <c r="Q112" s="4" t="b">
        <f>P112</f>
        <v>0</v>
      </c>
    </row>
    <row r="113" spans="2:17" x14ac:dyDescent="0.25">
      <c r="B113" s="6"/>
      <c r="C113" s="7"/>
      <c r="D113" s="7"/>
      <c r="E113" s="7"/>
      <c r="F113" s="7"/>
      <c r="G113" s="7"/>
      <c r="H113" s="7"/>
      <c r="I113" s="7"/>
      <c r="J113" s="6"/>
      <c r="N113" s="4" t="s">
        <v>287</v>
      </c>
      <c r="O113" s="4" t="b">
        <v>0</v>
      </c>
      <c r="P113" s="4" t="b">
        <v>0</v>
      </c>
      <c r="Q113" s="4" t="b">
        <f>P113</f>
        <v>0</v>
      </c>
    </row>
    <row r="114" spans="2:17" x14ac:dyDescent="0.25">
      <c r="B114" s="6"/>
      <c r="C114" s="7"/>
      <c r="D114" s="7"/>
      <c r="E114" s="7"/>
      <c r="F114" s="7"/>
      <c r="G114" s="7"/>
      <c r="H114" s="7"/>
      <c r="I114" s="7"/>
      <c r="J114" s="6"/>
      <c r="N114" s="4" t="s">
        <v>288</v>
      </c>
      <c r="O114" s="4" t="b">
        <v>0</v>
      </c>
      <c r="P114" s="4" t="b">
        <v>0</v>
      </c>
      <c r="Q114" s="4" t="b">
        <f>P114</f>
        <v>0</v>
      </c>
    </row>
    <row r="115" spans="2:17" x14ac:dyDescent="0.25">
      <c r="B115" s="6"/>
      <c r="C115" s="7"/>
      <c r="D115" s="7"/>
      <c r="E115" s="7"/>
      <c r="F115" s="7"/>
      <c r="G115" s="7"/>
      <c r="H115" s="7"/>
      <c r="I115" s="7"/>
      <c r="J115" s="6"/>
      <c r="N115" s="4" t="s">
        <v>289</v>
      </c>
      <c r="O115" s="4">
        <v>0</v>
      </c>
      <c r="P115" s="4">
        <v>0</v>
      </c>
      <c r="Q115" s="4">
        <f>E157</f>
        <v>0</v>
      </c>
    </row>
    <row r="116" spans="2:17" x14ac:dyDescent="0.25">
      <c r="B116" s="6"/>
      <c r="C116" s="7"/>
      <c r="D116" s="7"/>
      <c r="E116" s="7"/>
      <c r="F116" s="7"/>
      <c r="G116" s="7"/>
      <c r="H116" s="7"/>
      <c r="I116" s="7"/>
      <c r="J116" s="6"/>
      <c r="N116" s="4" t="s">
        <v>170</v>
      </c>
      <c r="O116" s="4" t="b">
        <v>0</v>
      </c>
      <c r="P116" s="4" t="b">
        <v>0</v>
      </c>
      <c r="Q116" s="4" t="b">
        <f t="shared" ref="Q116" si="4">P116</f>
        <v>0</v>
      </c>
    </row>
    <row r="117" spans="2:17" x14ac:dyDescent="0.25">
      <c r="B117" s="6"/>
      <c r="C117" s="6"/>
      <c r="D117" s="6"/>
      <c r="E117" s="6"/>
      <c r="F117" s="6"/>
      <c r="G117" s="6"/>
      <c r="H117" s="6"/>
      <c r="I117" s="6"/>
      <c r="J117" s="6"/>
      <c r="N117" s="4" t="s">
        <v>171</v>
      </c>
      <c r="O117" s="4" t="b">
        <v>0</v>
      </c>
      <c r="P117" s="4" t="b">
        <v>0</v>
      </c>
      <c r="Q117" s="4" t="b">
        <f t="shared" ref="Q117:Q142" si="5">P117</f>
        <v>0</v>
      </c>
    </row>
    <row r="118" spans="2:17" x14ac:dyDescent="0.25">
      <c r="B118" s="6"/>
      <c r="C118" s="7"/>
      <c r="D118" s="7"/>
      <c r="E118" s="7"/>
      <c r="F118" s="7"/>
      <c r="G118" s="7"/>
      <c r="H118" s="7"/>
      <c r="I118" s="6"/>
      <c r="J118" s="6"/>
      <c r="N118" s="4" t="s">
        <v>172</v>
      </c>
      <c r="O118" s="4" t="b">
        <v>0</v>
      </c>
      <c r="P118" s="4" t="b">
        <v>0</v>
      </c>
      <c r="Q118" s="4" t="b">
        <f t="shared" si="5"/>
        <v>0</v>
      </c>
    </row>
    <row r="119" spans="2:17" x14ac:dyDescent="0.25">
      <c r="B119" s="6"/>
      <c r="C119" s="16"/>
      <c r="D119" s="16"/>
      <c r="E119" s="16"/>
      <c r="F119" s="16"/>
      <c r="G119" s="16"/>
      <c r="H119" s="16"/>
      <c r="I119" s="6"/>
      <c r="J119" s="6"/>
      <c r="N119" s="4" t="s">
        <v>173</v>
      </c>
      <c r="O119" s="4" t="b">
        <v>0</v>
      </c>
      <c r="P119" s="4" t="b">
        <v>0</v>
      </c>
      <c r="Q119" s="4" t="b">
        <f t="shared" si="5"/>
        <v>0</v>
      </c>
    </row>
    <row r="120" spans="2:17" x14ac:dyDescent="0.25">
      <c r="B120" s="6"/>
      <c r="C120" s="16"/>
      <c r="D120" s="16"/>
      <c r="E120" s="16"/>
      <c r="F120" s="16"/>
      <c r="G120" s="16"/>
      <c r="H120" s="16"/>
      <c r="I120" s="6"/>
      <c r="J120" s="6"/>
      <c r="N120" s="4" t="s">
        <v>174</v>
      </c>
      <c r="O120" s="4" t="b">
        <v>0</v>
      </c>
      <c r="P120" s="4" t="b">
        <v>0</v>
      </c>
      <c r="Q120" s="4" t="b">
        <f t="shared" si="5"/>
        <v>0</v>
      </c>
    </row>
    <row r="121" spans="2:17" x14ac:dyDescent="0.25">
      <c r="B121" s="6"/>
      <c r="C121" s="16"/>
      <c r="D121" s="16"/>
      <c r="E121" s="16"/>
      <c r="F121" s="16"/>
      <c r="G121" s="16"/>
      <c r="H121" s="16"/>
      <c r="I121" s="6"/>
      <c r="J121" s="6"/>
      <c r="N121" s="4" t="s">
        <v>175</v>
      </c>
      <c r="O121" s="4" t="b">
        <v>0</v>
      </c>
      <c r="P121" s="4" t="b">
        <v>0</v>
      </c>
      <c r="Q121" s="4" t="b">
        <f t="shared" si="5"/>
        <v>0</v>
      </c>
    </row>
    <row r="122" spans="2:17" x14ac:dyDescent="0.25">
      <c r="B122" s="6"/>
      <c r="C122" s="16"/>
      <c r="D122" s="16"/>
      <c r="E122" s="16"/>
      <c r="F122" s="16"/>
      <c r="G122" s="16"/>
      <c r="H122" s="16"/>
      <c r="I122" s="6"/>
      <c r="J122" s="6"/>
      <c r="N122" s="4" t="s">
        <v>176</v>
      </c>
      <c r="O122" s="4" t="b">
        <v>0</v>
      </c>
      <c r="P122" s="4" t="b">
        <v>0</v>
      </c>
      <c r="Q122" s="4" t="b">
        <f t="shared" si="5"/>
        <v>0</v>
      </c>
    </row>
    <row r="123" spans="2:17" x14ac:dyDescent="0.25">
      <c r="B123" s="6"/>
      <c r="C123" s="6"/>
      <c r="D123" s="6"/>
      <c r="E123" s="6"/>
      <c r="F123" s="6"/>
      <c r="G123" s="6"/>
      <c r="H123" s="6"/>
      <c r="I123" s="6"/>
      <c r="J123" s="6"/>
      <c r="N123" s="4" t="s">
        <v>177</v>
      </c>
      <c r="O123" s="4" t="b">
        <v>0</v>
      </c>
      <c r="P123" s="4" t="b">
        <v>0</v>
      </c>
      <c r="Q123" s="4" t="b">
        <f t="shared" si="5"/>
        <v>0</v>
      </c>
    </row>
    <row r="124" spans="2:17" x14ac:dyDescent="0.25">
      <c r="B124" s="6"/>
      <c r="C124" s="7"/>
      <c r="D124" s="7"/>
      <c r="E124" s="7"/>
      <c r="F124" s="7"/>
      <c r="G124" s="6"/>
      <c r="H124" s="6"/>
      <c r="I124" s="6"/>
      <c r="J124" s="6"/>
      <c r="N124" s="4" t="s">
        <v>178</v>
      </c>
      <c r="O124" s="4" t="b">
        <v>0</v>
      </c>
      <c r="P124" s="4" t="b">
        <v>0</v>
      </c>
      <c r="Q124" s="4" t="b">
        <f t="shared" si="5"/>
        <v>0</v>
      </c>
    </row>
    <row r="125" spans="2:17" x14ac:dyDescent="0.25">
      <c r="B125" s="6"/>
      <c r="C125" s="7"/>
      <c r="D125" s="7"/>
      <c r="E125" s="7"/>
      <c r="F125" s="7"/>
      <c r="G125" s="6"/>
      <c r="H125" s="6"/>
      <c r="I125" s="6"/>
      <c r="J125" s="6"/>
      <c r="N125" s="4" t="s">
        <v>179</v>
      </c>
      <c r="O125" s="4" t="b">
        <v>0</v>
      </c>
      <c r="P125" s="4" t="b">
        <v>0</v>
      </c>
      <c r="Q125" s="4" t="b">
        <f t="shared" si="5"/>
        <v>0</v>
      </c>
    </row>
    <row r="126" spans="2:17" x14ac:dyDescent="0.25">
      <c r="B126" s="6"/>
      <c r="C126" s="7"/>
      <c r="D126" s="7"/>
      <c r="E126" s="7"/>
      <c r="F126" s="7"/>
      <c r="G126" s="6"/>
      <c r="H126" s="6"/>
      <c r="I126" s="6"/>
      <c r="J126" s="6"/>
      <c r="N126" s="4" t="s">
        <v>180</v>
      </c>
      <c r="O126" s="4" t="b">
        <v>0</v>
      </c>
      <c r="P126" s="4" t="b">
        <v>0</v>
      </c>
      <c r="Q126" s="4" t="b">
        <f t="shared" si="5"/>
        <v>0</v>
      </c>
    </row>
    <row r="127" spans="2:17" x14ac:dyDescent="0.25">
      <c r="B127" s="6"/>
      <c r="C127" s="6"/>
      <c r="D127" s="6"/>
      <c r="E127" s="6"/>
      <c r="F127" s="6"/>
      <c r="G127" s="6"/>
      <c r="H127" s="6"/>
      <c r="I127" s="6"/>
      <c r="J127" s="6"/>
      <c r="N127" s="4" t="s">
        <v>181</v>
      </c>
      <c r="O127" s="4" t="b">
        <v>0</v>
      </c>
      <c r="P127" s="4" t="b">
        <v>0</v>
      </c>
      <c r="Q127" s="4" t="b">
        <f t="shared" si="5"/>
        <v>0</v>
      </c>
    </row>
    <row r="128" spans="2:17" x14ac:dyDescent="0.25">
      <c r="B128" s="6"/>
      <c r="C128" s="7"/>
      <c r="D128" s="7"/>
      <c r="E128" s="7"/>
      <c r="F128" s="7"/>
      <c r="G128" s="6"/>
      <c r="H128" s="6"/>
      <c r="I128" s="6"/>
      <c r="J128" s="6"/>
      <c r="N128" s="4" t="s">
        <v>182</v>
      </c>
      <c r="O128" s="4" t="b">
        <v>0</v>
      </c>
      <c r="P128" s="4" t="b">
        <v>0</v>
      </c>
      <c r="Q128" s="4" t="b">
        <f t="shared" si="5"/>
        <v>0</v>
      </c>
    </row>
    <row r="129" spans="2:17" x14ac:dyDescent="0.25">
      <c r="B129" s="6"/>
      <c r="C129" s="7"/>
      <c r="D129" s="7"/>
      <c r="E129" s="7"/>
      <c r="F129" s="7"/>
      <c r="G129" s="6"/>
      <c r="H129" s="6"/>
      <c r="I129" s="6"/>
      <c r="J129" s="6"/>
      <c r="N129" s="4" t="s">
        <v>183</v>
      </c>
      <c r="O129" s="4" t="b">
        <v>0</v>
      </c>
      <c r="P129" s="4" t="b">
        <v>0</v>
      </c>
      <c r="Q129" s="4" t="b">
        <f t="shared" si="5"/>
        <v>0</v>
      </c>
    </row>
    <row r="130" spans="2:17" x14ac:dyDescent="0.25">
      <c r="B130" s="6"/>
      <c r="C130" s="7"/>
      <c r="D130" s="7"/>
      <c r="E130" s="7"/>
      <c r="F130" s="7"/>
      <c r="G130" s="6"/>
      <c r="H130" s="6"/>
      <c r="I130" s="6"/>
      <c r="J130" s="6"/>
      <c r="N130" s="4" t="s">
        <v>184</v>
      </c>
      <c r="O130" s="4" t="b">
        <v>0</v>
      </c>
      <c r="P130" s="4" t="b">
        <v>0</v>
      </c>
      <c r="Q130" s="4" t="b">
        <f t="shared" si="5"/>
        <v>0</v>
      </c>
    </row>
    <row r="131" spans="2:17" x14ac:dyDescent="0.25">
      <c r="B131" s="6"/>
      <c r="C131" s="6"/>
      <c r="D131" s="6"/>
      <c r="E131" s="6"/>
      <c r="F131" s="6"/>
      <c r="G131" s="6"/>
      <c r="H131" s="6"/>
      <c r="I131" s="6"/>
      <c r="J131" s="6"/>
      <c r="N131" s="4" t="s">
        <v>185</v>
      </c>
      <c r="O131" s="4" t="b">
        <v>0</v>
      </c>
      <c r="P131" s="4" t="b">
        <v>0</v>
      </c>
      <c r="Q131" s="4" t="b">
        <f t="shared" si="5"/>
        <v>0</v>
      </c>
    </row>
    <row r="132" spans="2:17" x14ac:dyDescent="0.25">
      <c r="B132" s="6"/>
      <c r="C132" s="7"/>
      <c r="D132" s="7"/>
      <c r="E132" s="7"/>
      <c r="F132" s="7"/>
      <c r="G132" s="7"/>
      <c r="H132" s="6"/>
      <c r="I132" s="6"/>
      <c r="J132" s="6"/>
      <c r="N132" s="4" t="s">
        <v>186</v>
      </c>
      <c r="O132" s="4" t="b">
        <v>0</v>
      </c>
      <c r="P132" s="4" t="b">
        <v>0</v>
      </c>
      <c r="Q132" s="4" t="b">
        <f t="shared" si="5"/>
        <v>0</v>
      </c>
    </row>
    <row r="133" spans="2:17" x14ac:dyDescent="0.25">
      <c r="B133" s="6"/>
      <c r="C133" s="7"/>
      <c r="D133" s="7"/>
      <c r="E133" s="7"/>
      <c r="F133" s="7"/>
      <c r="G133" s="7"/>
      <c r="H133" s="6"/>
      <c r="I133" s="6"/>
      <c r="J133" s="6"/>
      <c r="N133" s="4" t="s">
        <v>187</v>
      </c>
      <c r="O133" s="4" t="b">
        <v>0</v>
      </c>
      <c r="P133" s="4" t="b">
        <v>0</v>
      </c>
      <c r="Q133" s="4" t="b">
        <f t="shared" si="5"/>
        <v>0</v>
      </c>
    </row>
    <row r="134" spans="2:17" x14ac:dyDescent="0.25">
      <c r="B134" s="6"/>
      <c r="C134" s="7"/>
      <c r="D134" s="7"/>
      <c r="E134" s="7"/>
      <c r="F134" s="7"/>
      <c r="G134" s="7"/>
      <c r="H134" s="6"/>
      <c r="I134" s="6"/>
      <c r="J134" s="6"/>
      <c r="N134" s="4" t="s">
        <v>188</v>
      </c>
      <c r="O134" s="4" t="b">
        <v>0</v>
      </c>
      <c r="P134" s="4" t="b">
        <v>0</v>
      </c>
      <c r="Q134" s="4" t="b">
        <f t="shared" si="5"/>
        <v>0</v>
      </c>
    </row>
    <row r="135" spans="2:17" x14ac:dyDescent="0.25">
      <c r="B135" s="6"/>
      <c r="C135" s="7"/>
      <c r="D135" s="7"/>
      <c r="E135" s="7"/>
      <c r="F135" s="7"/>
      <c r="G135" s="7"/>
      <c r="H135" s="6"/>
      <c r="I135" s="6"/>
      <c r="J135" s="6"/>
      <c r="N135" s="4" t="s">
        <v>189</v>
      </c>
      <c r="O135" s="4" t="b">
        <v>0</v>
      </c>
      <c r="P135" s="4" t="b">
        <v>0</v>
      </c>
      <c r="Q135" s="4" t="b">
        <f t="shared" si="5"/>
        <v>0</v>
      </c>
    </row>
    <row r="136" spans="2:17" x14ac:dyDescent="0.25">
      <c r="B136" s="6"/>
      <c r="C136" s="7"/>
      <c r="D136" s="7"/>
      <c r="E136" s="7"/>
      <c r="F136" s="7"/>
      <c r="G136" s="7"/>
      <c r="H136" s="6"/>
      <c r="I136" s="6"/>
      <c r="J136" s="6"/>
      <c r="N136" s="4" t="s">
        <v>190</v>
      </c>
      <c r="O136" s="4" t="b">
        <v>0</v>
      </c>
      <c r="P136" s="4" t="b">
        <v>0</v>
      </c>
      <c r="Q136" s="4" t="b">
        <f t="shared" si="5"/>
        <v>0</v>
      </c>
    </row>
    <row r="137" spans="2:17" x14ac:dyDescent="0.25">
      <c r="B137" s="6"/>
      <c r="C137" s="7"/>
      <c r="D137" s="7"/>
      <c r="E137" s="7"/>
      <c r="F137" s="7"/>
      <c r="G137" s="7"/>
      <c r="H137" s="6"/>
      <c r="I137" s="6"/>
      <c r="J137" s="6"/>
      <c r="N137" s="4" t="s">
        <v>191</v>
      </c>
      <c r="O137" s="4" t="b">
        <v>0</v>
      </c>
      <c r="P137" s="4" t="b">
        <v>0</v>
      </c>
      <c r="Q137" s="4" t="b">
        <f t="shared" si="5"/>
        <v>0</v>
      </c>
    </row>
    <row r="138" spans="2:17" x14ac:dyDescent="0.25">
      <c r="B138" s="6"/>
      <c r="C138" s="7"/>
      <c r="D138" s="7"/>
      <c r="E138" s="7"/>
      <c r="F138" s="7"/>
      <c r="G138" s="7"/>
      <c r="H138" s="6"/>
      <c r="I138" s="6"/>
      <c r="J138" s="6"/>
      <c r="N138" s="4" t="s">
        <v>192</v>
      </c>
      <c r="O138" s="4" t="b">
        <v>0</v>
      </c>
      <c r="P138" s="4" t="b">
        <v>0</v>
      </c>
      <c r="Q138" s="4" t="b">
        <f t="shared" si="5"/>
        <v>0</v>
      </c>
    </row>
    <row r="139" spans="2:17" x14ac:dyDescent="0.25">
      <c r="B139" s="6"/>
      <c r="C139" s="7"/>
      <c r="D139" s="7"/>
      <c r="E139" s="7"/>
      <c r="F139" s="7"/>
      <c r="G139" s="7"/>
      <c r="H139" s="6"/>
      <c r="I139" s="6"/>
      <c r="J139" s="6"/>
      <c r="N139" s="4" t="s">
        <v>193</v>
      </c>
      <c r="O139" s="4" t="b">
        <v>0</v>
      </c>
      <c r="P139" s="4" t="b">
        <v>0</v>
      </c>
      <c r="Q139" s="4" t="b">
        <f t="shared" si="5"/>
        <v>0</v>
      </c>
    </row>
    <row r="140" spans="2:17" x14ac:dyDescent="0.25">
      <c r="B140" s="6"/>
      <c r="C140" s="7"/>
      <c r="D140" s="7"/>
      <c r="E140" s="7">
        <f>SUM(R5,R6,R7)</f>
        <v>0</v>
      </c>
      <c r="F140" s="9" t="str">
        <f>IF(E140=0,"",IF(E140&gt;=Options!$A$81,Options!$B$81,IF(E140&gt;=Options!$A$82,Options!$B$82,Options!$B$83)))</f>
        <v/>
      </c>
      <c r="G140" s="7"/>
      <c r="H140" s="6"/>
      <c r="I140" s="6"/>
      <c r="J140" s="6"/>
      <c r="N140" s="4" t="s">
        <v>194</v>
      </c>
      <c r="O140" s="4" t="b">
        <v>0</v>
      </c>
      <c r="P140" s="4" t="b">
        <v>0</v>
      </c>
      <c r="Q140" s="4" t="b">
        <f t="shared" si="5"/>
        <v>0</v>
      </c>
    </row>
    <row r="141" spans="2:17" x14ac:dyDescent="0.25">
      <c r="B141" s="6"/>
      <c r="C141" s="7"/>
      <c r="D141" s="7"/>
      <c r="E141" s="7"/>
      <c r="F141" s="7"/>
      <c r="G141" s="7"/>
      <c r="H141" s="6"/>
      <c r="I141" s="6"/>
      <c r="J141" s="6"/>
      <c r="N141" s="4" t="s">
        <v>195</v>
      </c>
      <c r="O141" s="4" t="b">
        <v>0</v>
      </c>
      <c r="P141" s="4" t="b">
        <v>0</v>
      </c>
      <c r="Q141" s="4" t="b">
        <f t="shared" si="5"/>
        <v>0</v>
      </c>
    </row>
    <row r="142" spans="2:17" x14ac:dyDescent="0.25">
      <c r="B142" s="6"/>
      <c r="C142" s="6"/>
      <c r="D142" s="6"/>
      <c r="E142" s="6"/>
      <c r="F142" s="6"/>
      <c r="G142" s="6"/>
      <c r="H142" s="6"/>
      <c r="I142" s="6"/>
      <c r="J142" s="6"/>
      <c r="N142" s="4" t="s">
        <v>225</v>
      </c>
      <c r="O142" s="4" t="b">
        <v>0</v>
      </c>
      <c r="P142" s="4" t="b">
        <v>0</v>
      </c>
      <c r="Q142" s="4" t="b">
        <f t="shared" si="5"/>
        <v>0</v>
      </c>
    </row>
    <row r="143" spans="2:17" x14ac:dyDescent="0.25">
      <c r="B143" s="6"/>
      <c r="C143" s="7"/>
      <c r="D143" s="7"/>
      <c r="E143" s="7"/>
      <c r="F143" s="7"/>
      <c r="G143" s="7"/>
      <c r="H143" s="7"/>
      <c r="I143" s="7"/>
      <c r="J143" s="6"/>
      <c r="N143" s="4" t="s">
        <v>196</v>
      </c>
      <c r="O143" s="4">
        <v>0</v>
      </c>
      <c r="P143" s="4">
        <v>0</v>
      </c>
      <c r="Q143" s="4">
        <f>C175</f>
        <v>0</v>
      </c>
    </row>
    <row r="144" spans="2:17" x14ac:dyDescent="0.25">
      <c r="B144" s="6"/>
      <c r="C144" s="7"/>
      <c r="D144" s="7"/>
      <c r="E144" s="7"/>
      <c r="F144" s="7"/>
      <c r="G144" s="7"/>
      <c r="H144" s="7"/>
      <c r="I144" s="7"/>
      <c r="J144" s="6"/>
      <c r="N144" s="4" t="s">
        <v>226</v>
      </c>
      <c r="O144" s="4">
        <v>1</v>
      </c>
      <c r="P144" s="4">
        <v>1</v>
      </c>
      <c r="Q144" s="4">
        <f>P144</f>
        <v>1</v>
      </c>
    </row>
    <row r="145" spans="2:17" x14ac:dyDescent="0.25">
      <c r="B145" s="6"/>
      <c r="C145" s="7"/>
      <c r="D145" s="7"/>
      <c r="E145" s="7"/>
      <c r="F145" s="7"/>
      <c r="G145" s="7"/>
      <c r="H145" s="7"/>
      <c r="I145" s="7"/>
      <c r="J145" s="6"/>
      <c r="N145" s="4" t="s">
        <v>197</v>
      </c>
      <c r="O145" s="4" t="s">
        <v>220</v>
      </c>
      <c r="P145" s="4" t="s">
        <v>220</v>
      </c>
      <c r="Q145" s="4">
        <f>IFERROR(INDEX(Options!$A$41:$A$47,Report!P144),"error_result")</f>
        <v>0</v>
      </c>
    </row>
    <row r="146" spans="2:17" x14ac:dyDescent="0.25">
      <c r="B146" s="6"/>
      <c r="C146" s="7"/>
      <c r="D146" s="7"/>
      <c r="E146" s="7"/>
      <c r="F146" s="7"/>
      <c r="G146" s="7"/>
      <c r="H146" s="7"/>
      <c r="I146" s="7"/>
      <c r="J146" s="6"/>
      <c r="N146" s="4" t="s">
        <v>227</v>
      </c>
      <c r="O146" s="4">
        <v>1</v>
      </c>
      <c r="P146" s="4">
        <v>1</v>
      </c>
      <c r="Q146" s="4">
        <f>P146</f>
        <v>1</v>
      </c>
    </row>
    <row r="147" spans="2:17" x14ac:dyDescent="0.25">
      <c r="B147" s="6"/>
      <c r="C147" s="7"/>
      <c r="D147" s="7"/>
      <c r="E147" s="7"/>
      <c r="F147" s="7"/>
      <c r="G147" s="7"/>
      <c r="H147" s="7"/>
      <c r="I147" s="7"/>
      <c r="J147" s="6"/>
      <c r="N147" s="4" t="s">
        <v>198</v>
      </c>
      <c r="O147" s="4" t="s">
        <v>220</v>
      </c>
      <c r="P147" s="4" t="s">
        <v>220</v>
      </c>
      <c r="Q147" s="4">
        <f>IFERROR(INDEX(Options!A129:A136,Report!P146),"error_result")</f>
        <v>0</v>
      </c>
    </row>
    <row r="148" spans="2:17" x14ac:dyDescent="0.25">
      <c r="B148" s="6"/>
      <c r="C148" s="7"/>
      <c r="D148" s="7"/>
      <c r="E148" s="7"/>
      <c r="F148" s="7"/>
      <c r="G148" s="7"/>
      <c r="H148" s="7"/>
      <c r="I148" s="7"/>
      <c r="J148" s="6"/>
      <c r="N148" s="4" t="s">
        <v>228</v>
      </c>
      <c r="O148" s="4">
        <v>1</v>
      </c>
      <c r="P148" s="4">
        <v>1</v>
      </c>
      <c r="Q148" s="4">
        <f>P148</f>
        <v>1</v>
      </c>
    </row>
    <row r="149" spans="2:17" x14ac:dyDescent="0.25">
      <c r="B149" s="6"/>
      <c r="C149" s="7"/>
      <c r="D149" s="7"/>
      <c r="E149" s="7"/>
      <c r="F149" s="7"/>
      <c r="G149" s="7"/>
      <c r="H149" s="7"/>
      <c r="I149" s="7"/>
      <c r="J149" s="6"/>
      <c r="N149" s="4" t="s">
        <v>199</v>
      </c>
      <c r="O149" s="4" t="s">
        <v>220</v>
      </c>
      <c r="P149" s="4" t="s">
        <v>220</v>
      </c>
      <c r="Q149" s="4">
        <f>IFERROR(INDEX(Options!$A$60:$A$64,Report!P148),"error_result")</f>
        <v>0</v>
      </c>
    </row>
    <row r="150" spans="2:17" x14ac:dyDescent="0.25">
      <c r="B150" s="6"/>
      <c r="C150" s="6"/>
      <c r="D150" s="6"/>
      <c r="E150" s="6"/>
      <c r="F150" s="6"/>
      <c r="G150" s="6"/>
      <c r="H150" s="6"/>
      <c r="I150" s="6"/>
      <c r="J150" s="6"/>
      <c r="N150" s="4" t="s">
        <v>229</v>
      </c>
      <c r="O150" s="4">
        <v>1</v>
      </c>
      <c r="P150" s="4">
        <v>1</v>
      </c>
      <c r="Q150" s="4">
        <f>P150</f>
        <v>1</v>
      </c>
    </row>
    <row r="151" spans="2:17" x14ac:dyDescent="0.25">
      <c r="B151" s="6"/>
      <c r="C151" s="7"/>
      <c r="D151" s="7"/>
      <c r="E151" s="7"/>
      <c r="F151" s="6"/>
      <c r="G151" s="6"/>
      <c r="H151" s="6"/>
      <c r="I151" s="6"/>
      <c r="J151" s="6"/>
      <c r="N151" s="4" t="s">
        <v>200</v>
      </c>
      <c r="O151" s="4" t="s">
        <v>220</v>
      </c>
      <c r="P151" s="4" t="s">
        <v>220</v>
      </c>
      <c r="Q151" s="4">
        <f>IFERROR(INDEX(Options!$A$66:$A$71,Report!P150),"error_result")</f>
        <v>0</v>
      </c>
    </row>
    <row r="152" spans="2:17" x14ac:dyDescent="0.25">
      <c r="B152" s="6"/>
      <c r="C152" s="7"/>
      <c r="D152" s="7"/>
      <c r="E152" s="7"/>
      <c r="F152" s="6"/>
      <c r="G152" s="6"/>
      <c r="H152" s="6"/>
      <c r="I152" s="6"/>
      <c r="J152" s="6"/>
      <c r="N152" s="4" t="s">
        <v>230</v>
      </c>
      <c r="O152" s="4">
        <v>1</v>
      </c>
      <c r="P152" s="4">
        <v>1</v>
      </c>
      <c r="Q152" s="4">
        <f>P152</f>
        <v>1</v>
      </c>
    </row>
    <row r="153" spans="2:17" x14ac:dyDescent="0.25">
      <c r="B153" s="6"/>
      <c r="C153" s="7"/>
      <c r="D153" s="7"/>
      <c r="E153" s="7"/>
      <c r="F153" s="6"/>
      <c r="G153" s="6"/>
      <c r="H153" s="6"/>
      <c r="I153" s="6"/>
      <c r="J153" s="6"/>
      <c r="N153" s="4" t="s">
        <v>201</v>
      </c>
      <c r="O153" s="4" t="s">
        <v>220</v>
      </c>
      <c r="P153" s="4" t="s">
        <v>220</v>
      </c>
      <c r="Q153" s="4">
        <f>IFERROR(INDEX(Options!$A$73:$A$79,Report!P152),"error_result")</f>
        <v>0</v>
      </c>
    </row>
    <row r="154" spans="2:17" x14ac:dyDescent="0.25">
      <c r="B154" s="6"/>
      <c r="C154" s="7"/>
      <c r="D154" s="7"/>
      <c r="E154" s="7"/>
      <c r="F154" s="6"/>
      <c r="G154" s="6"/>
      <c r="H154" s="6"/>
      <c r="I154" s="6"/>
      <c r="J154" s="6"/>
      <c r="N154" s="4" t="s">
        <v>202</v>
      </c>
      <c r="O154" s="4">
        <v>0</v>
      </c>
      <c r="P154" s="4">
        <v>0</v>
      </c>
      <c r="Q154" s="4">
        <f>E196</f>
        <v>0</v>
      </c>
    </row>
    <row r="155" spans="2:17" x14ac:dyDescent="0.25">
      <c r="B155" s="6"/>
      <c r="C155" s="7"/>
      <c r="D155" s="7"/>
      <c r="E155" s="7"/>
      <c r="F155" s="6"/>
      <c r="G155" s="6"/>
      <c r="H155" s="6"/>
      <c r="I155" s="6"/>
      <c r="J155" s="6"/>
      <c r="N155" s="4" t="s">
        <v>203</v>
      </c>
      <c r="O155" s="4">
        <v>0</v>
      </c>
      <c r="P155" s="4">
        <v>0</v>
      </c>
      <c r="Q155" s="4" t="str">
        <f>F196</f>
        <v/>
      </c>
    </row>
    <row r="156" spans="2:17" x14ac:dyDescent="0.25">
      <c r="B156" s="6"/>
      <c r="C156" s="7"/>
      <c r="D156" s="7"/>
      <c r="E156" s="7"/>
      <c r="F156" s="6"/>
      <c r="G156" s="6"/>
      <c r="H156" s="6"/>
      <c r="I156" s="6"/>
      <c r="J156" s="6"/>
      <c r="N156" s="4" t="s">
        <v>231</v>
      </c>
      <c r="O156" s="4">
        <v>1</v>
      </c>
      <c r="P156" s="4">
        <v>1</v>
      </c>
      <c r="Q156" s="4">
        <f>P156</f>
        <v>1</v>
      </c>
    </row>
    <row r="157" spans="2:17" x14ac:dyDescent="0.25">
      <c r="B157" s="6"/>
      <c r="C157" s="7"/>
      <c r="D157" s="7"/>
      <c r="E157" s="7">
        <f>COUNTIF(P111:P114,TRUE)</f>
        <v>0</v>
      </c>
      <c r="F157" s="6"/>
      <c r="G157" s="6"/>
      <c r="H157" s="6"/>
      <c r="I157" s="6"/>
      <c r="J157" s="6"/>
      <c r="N157" s="4" t="s">
        <v>204</v>
      </c>
      <c r="O157" s="4" t="s">
        <v>220</v>
      </c>
      <c r="P157" s="4" t="s">
        <v>220</v>
      </c>
      <c r="Q157" s="4" cm="1">
        <f t="array" ref="Q157">INDEX(Options!$A$104:$A$108,Report!P156)</f>
        <v>0</v>
      </c>
    </row>
    <row r="158" spans="2:17" x14ac:dyDescent="0.25">
      <c r="B158" s="6"/>
      <c r="C158" s="6"/>
      <c r="D158" s="6"/>
      <c r="E158" s="6"/>
      <c r="F158" s="6"/>
      <c r="G158" s="6"/>
      <c r="H158" s="6"/>
      <c r="I158" s="6"/>
      <c r="J158" s="6"/>
      <c r="N158" s="4" t="s">
        <v>232</v>
      </c>
      <c r="O158" s="4">
        <v>1</v>
      </c>
      <c r="P158" s="4">
        <v>1</v>
      </c>
      <c r="Q158" s="4">
        <f>P158</f>
        <v>1</v>
      </c>
    </row>
    <row r="159" spans="2:17" x14ac:dyDescent="0.25">
      <c r="N159" s="4" t="s">
        <v>205</v>
      </c>
      <c r="O159" s="4" t="s">
        <v>220</v>
      </c>
      <c r="P159" s="4" t="s">
        <v>220</v>
      </c>
      <c r="Q159" s="4" cm="1">
        <f t="array" ref="Q159">INDEX(Options!$A$110:$A$114,P158)</f>
        <v>0</v>
      </c>
    </row>
    <row r="160" spans="2:17" x14ac:dyDescent="0.25">
      <c r="B160" s="6"/>
      <c r="C160" s="6"/>
      <c r="D160" s="6"/>
      <c r="E160" s="6"/>
      <c r="F160" s="6"/>
      <c r="G160" s="6"/>
      <c r="H160" s="6"/>
      <c r="I160" s="6"/>
      <c r="J160" s="6"/>
      <c r="N160" s="4" t="s">
        <v>233</v>
      </c>
      <c r="O160" s="4">
        <v>1</v>
      </c>
      <c r="P160" s="4">
        <v>1</v>
      </c>
      <c r="Q160" s="4">
        <f>P160</f>
        <v>1</v>
      </c>
    </row>
    <row r="161" spans="2:17" x14ac:dyDescent="0.25">
      <c r="B161" s="6"/>
      <c r="C161" s="7"/>
      <c r="D161" s="7"/>
      <c r="E161" s="7"/>
      <c r="F161" s="7"/>
      <c r="G161" s="7"/>
      <c r="H161" s="7"/>
      <c r="I161" s="7"/>
      <c r="J161" s="6"/>
      <c r="N161" s="4" t="s">
        <v>206</v>
      </c>
      <c r="O161" s="4" t="s">
        <v>220</v>
      </c>
      <c r="P161" s="4" t="s">
        <v>220</v>
      </c>
      <c r="Q161" s="4" cm="1">
        <f t="array" ref="Q161">INDEX(Options!$A$116:$A$119,Report!P160)</f>
        <v>0</v>
      </c>
    </row>
    <row r="162" spans="2:17" x14ac:dyDescent="0.25">
      <c r="B162" s="6"/>
      <c r="C162" s="7"/>
      <c r="D162" s="7"/>
      <c r="E162" s="7"/>
      <c r="F162" s="7"/>
      <c r="G162" s="7"/>
      <c r="H162" s="7"/>
      <c r="I162" s="7"/>
      <c r="J162" s="6"/>
      <c r="N162" s="4" t="s">
        <v>207</v>
      </c>
      <c r="O162" s="4" t="b">
        <v>0</v>
      </c>
      <c r="P162" s="4" t="b">
        <v>0</v>
      </c>
      <c r="Q162" s="4" t="b">
        <f>P162</f>
        <v>0</v>
      </c>
    </row>
    <row r="163" spans="2:17" x14ac:dyDescent="0.25">
      <c r="B163" s="6"/>
      <c r="C163" s="7"/>
      <c r="D163" s="7"/>
      <c r="E163" s="7"/>
      <c r="F163" s="7"/>
      <c r="G163" s="7"/>
      <c r="H163" s="7"/>
      <c r="I163" s="7"/>
      <c r="J163" s="6"/>
      <c r="N163" s="4" t="s">
        <v>208</v>
      </c>
      <c r="O163" s="4" t="b">
        <v>0</v>
      </c>
      <c r="P163" s="4" t="b">
        <v>0</v>
      </c>
      <c r="Q163" s="4" t="b">
        <f>P163</f>
        <v>0</v>
      </c>
    </row>
    <row r="164" spans="2:17" x14ac:dyDescent="0.25">
      <c r="B164" s="6"/>
      <c r="C164" s="7"/>
      <c r="D164" s="7"/>
      <c r="E164" s="7"/>
      <c r="F164" s="7"/>
      <c r="G164" s="7"/>
      <c r="H164" s="7"/>
      <c r="I164" s="7"/>
      <c r="J164" s="6"/>
      <c r="N164" s="4" t="s">
        <v>209</v>
      </c>
      <c r="O164" s="4" t="b">
        <v>0</v>
      </c>
      <c r="P164" s="4" t="b">
        <v>0</v>
      </c>
      <c r="Q164" s="4" t="b">
        <f>P164</f>
        <v>0</v>
      </c>
    </row>
    <row r="165" spans="2:17" x14ac:dyDescent="0.25">
      <c r="B165" s="6"/>
      <c r="C165" s="7"/>
      <c r="D165" s="7"/>
      <c r="E165" s="7"/>
      <c r="F165" s="7"/>
      <c r="G165" s="7"/>
      <c r="H165" s="7"/>
      <c r="I165" s="7"/>
      <c r="J165" s="6"/>
      <c r="N165" s="4" t="s">
        <v>210</v>
      </c>
      <c r="O165" s="4" t="b">
        <v>0</v>
      </c>
      <c r="P165" s="4" t="b">
        <v>0</v>
      </c>
      <c r="Q165" s="4" t="b">
        <f>P165</f>
        <v>0</v>
      </c>
    </row>
    <row r="166" spans="2:17" x14ac:dyDescent="0.25">
      <c r="B166" s="6"/>
      <c r="C166" s="7"/>
      <c r="D166" s="7"/>
      <c r="E166" s="7"/>
      <c r="F166" s="7"/>
      <c r="G166" s="7"/>
      <c r="H166" s="7"/>
      <c r="I166" s="7"/>
      <c r="J166" s="6"/>
      <c r="N166" s="4" t="s">
        <v>211</v>
      </c>
      <c r="O166" s="4">
        <v>0</v>
      </c>
      <c r="P166" s="4">
        <v>0</v>
      </c>
      <c r="Q166" s="4">
        <f>E214</f>
        <v>0</v>
      </c>
    </row>
    <row r="167" spans="2:17" x14ac:dyDescent="0.25">
      <c r="B167" s="6"/>
      <c r="C167" s="7"/>
      <c r="D167" s="7"/>
      <c r="E167" s="7"/>
      <c r="F167" s="7"/>
      <c r="G167" s="7"/>
      <c r="H167" s="7"/>
      <c r="I167" s="7"/>
      <c r="J167" s="6"/>
      <c r="N167" s="4" t="s">
        <v>234</v>
      </c>
      <c r="O167" s="4">
        <v>1</v>
      </c>
      <c r="P167" s="4">
        <v>1</v>
      </c>
      <c r="Q167" s="4">
        <f>P167</f>
        <v>1</v>
      </c>
    </row>
    <row r="168" spans="2:17" x14ac:dyDescent="0.25">
      <c r="B168" s="6"/>
      <c r="C168" s="7"/>
      <c r="D168" s="7"/>
      <c r="E168" s="7"/>
      <c r="F168" s="7"/>
      <c r="G168" s="7"/>
      <c r="H168" s="7"/>
      <c r="I168" s="7"/>
      <c r="J168" s="6"/>
      <c r="N168" s="4" t="s">
        <v>212</v>
      </c>
      <c r="O168" s="4"/>
      <c r="P168" s="4">
        <v>0</v>
      </c>
      <c r="Q168" s="4">
        <f>INDEX(Options!A145:A147,Report!P167)</f>
        <v>0</v>
      </c>
    </row>
    <row r="169" spans="2:17" x14ac:dyDescent="0.25">
      <c r="B169" s="6"/>
      <c r="C169" s="7"/>
      <c r="D169" s="7"/>
      <c r="E169" s="7"/>
      <c r="F169" s="7"/>
      <c r="G169" s="7"/>
      <c r="H169" s="7"/>
      <c r="I169" s="7"/>
      <c r="J169" s="6"/>
    </row>
    <row r="170" spans="2:17" x14ac:dyDescent="0.25">
      <c r="B170" s="6"/>
      <c r="C170" s="7"/>
      <c r="D170" s="7"/>
      <c r="E170" s="7"/>
      <c r="F170" s="7"/>
      <c r="G170" s="7"/>
      <c r="H170" s="7"/>
      <c r="I170" s="7"/>
      <c r="J170" s="6"/>
    </row>
    <row r="171" spans="2:17" x14ac:dyDescent="0.25">
      <c r="B171" s="6"/>
      <c r="C171" s="7"/>
      <c r="D171" s="7"/>
      <c r="E171" s="7"/>
      <c r="F171" s="7"/>
      <c r="G171" s="7"/>
      <c r="H171" s="7"/>
      <c r="I171" s="7"/>
      <c r="J171" s="6"/>
    </row>
    <row r="172" spans="2:17" x14ac:dyDescent="0.25">
      <c r="B172" s="6"/>
      <c r="C172" s="7"/>
      <c r="D172" s="7"/>
      <c r="E172" s="7"/>
      <c r="F172" s="7"/>
      <c r="G172" s="7"/>
      <c r="H172" s="7"/>
      <c r="I172" s="7"/>
      <c r="J172" s="6"/>
    </row>
    <row r="173" spans="2:17" x14ac:dyDescent="0.25">
      <c r="B173" s="6"/>
      <c r="C173" s="6"/>
      <c r="D173" s="6"/>
      <c r="E173" s="6"/>
      <c r="F173" s="6"/>
      <c r="G173" s="6"/>
      <c r="H173" s="6"/>
      <c r="I173" s="6"/>
      <c r="J173" s="6"/>
    </row>
    <row r="174" spans="2:17" x14ac:dyDescent="0.25">
      <c r="B174" s="6"/>
      <c r="C174" s="7"/>
      <c r="D174" s="7"/>
      <c r="E174" s="7"/>
      <c r="F174" s="7"/>
      <c r="G174" s="7"/>
      <c r="H174" s="7"/>
      <c r="I174" s="6"/>
      <c r="J174" s="6"/>
    </row>
    <row r="175" spans="2:17" x14ac:dyDescent="0.25">
      <c r="B175" s="6"/>
      <c r="C175" s="15"/>
      <c r="D175" s="15"/>
      <c r="E175" s="15"/>
      <c r="F175" s="15"/>
      <c r="G175" s="15"/>
      <c r="H175" s="15"/>
      <c r="I175" s="6"/>
      <c r="J175" s="6"/>
    </row>
    <row r="176" spans="2:17" x14ac:dyDescent="0.25">
      <c r="B176" s="6"/>
      <c r="C176" s="15"/>
      <c r="D176" s="15"/>
      <c r="E176" s="15"/>
      <c r="F176" s="15"/>
      <c r="G176" s="15"/>
      <c r="H176" s="15"/>
      <c r="I176" s="6"/>
      <c r="J176" s="6"/>
    </row>
    <row r="177" spans="2:10" x14ac:dyDescent="0.25">
      <c r="B177" s="6"/>
      <c r="C177" s="15"/>
      <c r="D177" s="15"/>
      <c r="E177" s="15"/>
      <c r="F177" s="15"/>
      <c r="G177" s="15"/>
      <c r="H177" s="15"/>
      <c r="I177" s="6"/>
      <c r="J177" s="6"/>
    </row>
    <row r="178" spans="2:10" x14ac:dyDescent="0.25">
      <c r="B178" s="6"/>
      <c r="C178" s="15"/>
      <c r="D178" s="15"/>
      <c r="E178" s="15"/>
      <c r="F178" s="15"/>
      <c r="G178" s="15"/>
      <c r="H178" s="15"/>
      <c r="I178" s="6"/>
      <c r="J178" s="6"/>
    </row>
    <row r="179" spans="2:10" x14ac:dyDescent="0.25">
      <c r="B179" s="6"/>
      <c r="C179" s="6"/>
      <c r="D179" s="6"/>
      <c r="E179" s="6"/>
      <c r="F179" s="6"/>
      <c r="G179" s="6"/>
      <c r="H179" s="6"/>
      <c r="I179" s="6"/>
      <c r="J179" s="6"/>
    </row>
    <row r="180" spans="2:10" x14ac:dyDescent="0.25">
      <c r="B180" s="6"/>
      <c r="C180" s="7"/>
      <c r="D180" s="7"/>
      <c r="E180" s="7"/>
      <c r="F180" s="7"/>
      <c r="G180" s="6"/>
      <c r="H180" s="6"/>
      <c r="I180" s="6"/>
      <c r="J180" s="6"/>
    </row>
    <row r="181" spans="2:10" x14ac:dyDescent="0.25">
      <c r="B181" s="6"/>
      <c r="C181" s="7"/>
      <c r="D181" s="7"/>
      <c r="E181" s="7"/>
      <c r="F181" s="7"/>
      <c r="G181" s="6"/>
      <c r="H181" s="6"/>
      <c r="I181" s="6"/>
      <c r="J181" s="6"/>
    </row>
    <row r="182" spans="2:10" x14ac:dyDescent="0.25">
      <c r="B182" s="6"/>
      <c r="C182" s="7"/>
      <c r="D182" s="7"/>
      <c r="E182" s="7"/>
      <c r="F182" s="7"/>
      <c r="G182" s="6"/>
      <c r="H182" s="6"/>
      <c r="I182" s="6"/>
      <c r="J182" s="6"/>
    </row>
    <row r="183" spans="2:10" x14ac:dyDescent="0.25">
      <c r="B183" s="6"/>
      <c r="C183" s="6"/>
      <c r="D183" s="6"/>
      <c r="E183" s="6"/>
      <c r="F183" s="6"/>
      <c r="G183" s="6"/>
      <c r="H183" s="6"/>
      <c r="I183" s="6"/>
      <c r="J183" s="6"/>
    </row>
    <row r="184" spans="2:10" x14ac:dyDescent="0.25">
      <c r="B184" s="6"/>
      <c r="C184" s="7"/>
      <c r="D184" s="7"/>
      <c r="E184" s="7"/>
      <c r="F184" s="7"/>
      <c r="G184" s="6"/>
      <c r="H184" s="6"/>
      <c r="I184" s="6"/>
      <c r="J184" s="6"/>
    </row>
    <row r="185" spans="2:10" x14ac:dyDescent="0.25">
      <c r="B185" s="6"/>
      <c r="C185" s="7"/>
      <c r="D185" s="7"/>
      <c r="E185" s="7"/>
      <c r="F185" s="7"/>
      <c r="G185" s="6"/>
      <c r="H185" s="6"/>
      <c r="I185" s="6"/>
      <c r="J185" s="6"/>
    </row>
    <row r="186" spans="2:10" x14ac:dyDescent="0.25">
      <c r="B186" s="6"/>
      <c r="C186" s="7"/>
      <c r="D186" s="7"/>
      <c r="E186" s="7"/>
      <c r="F186" s="7"/>
      <c r="G186" s="6"/>
      <c r="H186" s="6"/>
      <c r="I186" s="6"/>
      <c r="J186" s="6"/>
    </row>
    <row r="187" spans="2:10" x14ac:dyDescent="0.25">
      <c r="B187" s="6"/>
      <c r="C187" s="6"/>
      <c r="D187" s="6"/>
      <c r="E187" s="6"/>
      <c r="F187" s="6"/>
      <c r="G187" s="6"/>
      <c r="H187" s="6"/>
      <c r="I187" s="6"/>
      <c r="J187" s="6"/>
    </row>
    <row r="188" spans="2:10" x14ac:dyDescent="0.25">
      <c r="B188" s="6"/>
      <c r="C188" s="7"/>
      <c r="D188" s="7"/>
      <c r="E188" s="7"/>
      <c r="F188" s="7"/>
      <c r="G188" s="7"/>
      <c r="H188" s="6"/>
      <c r="I188" s="6"/>
      <c r="J188" s="6"/>
    </row>
    <row r="189" spans="2:10" x14ac:dyDescent="0.25">
      <c r="B189" s="6"/>
      <c r="C189" s="7"/>
      <c r="D189" s="7"/>
      <c r="E189" s="7"/>
      <c r="F189" s="7"/>
      <c r="G189" s="7"/>
      <c r="H189" s="6"/>
      <c r="I189" s="6"/>
      <c r="J189" s="6"/>
    </row>
    <row r="190" spans="2:10" x14ac:dyDescent="0.25">
      <c r="B190" s="6"/>
      <c r="C190" s="7"/>
      <c r="D190" s="7"/>
      <c r="E190" s="7"/>
      <c r="F190" s="7"/>
      <c r="G190" s="7"/>
      <c r="H190" s="6"/>
      <c r="I190" s="6"/>
      <c r="J190" s="6"/>
    </row>
    <row r="191" spans="2:10" x14ac:dyDescent="0.25">
      <c r="B191" s="6"/>
      <c r="C191" s="7"/>
      <c r="D191" s="7"/>
      <c r="E191" s="7"/>
      <c r="F191" s="7"/>
      <c r="G191" s="7"/>
      <c r="H191" s="6"/>
      <c r="I191" s="6"/>
      <c r="J191" s="6"/>
    </row>
    <row r="192" spans="2:10" x14ac:dyDescent="0.25">
      <c r="B192" s="6"/>
      <c r="C192" s="7"/>
      <c r="D192" s="7"/>
      <c r="E192" s="7"/>
      <c r="F192" s="7"/>
      <c r="G192" s="7"/>
      <c r="H192" s="6"/>
      <c r="I192" s="6"/>
      <c r="J192" s="6"/>
    </row>
    <row r="193" spans="2:10" x14ac:dyDescent="0.25">
      <c r="B193" s="6"/>
      <c r="C193" s="7"/>
      <c r="D193" s="7"/>
      <c r="E193" s="7"/>
      <c r="F193" s="7"/>
      <c r="G193" s="7"/>
      <c r="H193" s="6"/>
      <c r="I193" s="6"/>
      <c r="J193" s="6"/>
    </row>
    <row r="194" spans="2:10" x14ac:dyDescent="0.25">
      <c r="B194" s="6"/>
      <c r="C194" s="7"/>
      <c r="D194" s="7"/>
      <c r="E194" s="7"/>
      <c r="F194" s="7"/>
      <c r="G194" s="7"/>
      <c r="H194" s="6"/>
      <c r="I194" s="6"/>
      <c r="J194" s="6"/>
    </row>
    <row r="195" spans="2:10" x14ac:dyDescent="0.25">
      <c r="B195" s="6"/>
      <c r="C195" s="7"/>
      <c r="D195" s="7"/>
      <c r="E195" s="7"/>
      <c r="F195" s="7"/>
      <c r="G195" s="7"/>
      <c r="H195" s="6"/>
      <c r="I195" s="6"/>
      <c r="J195" s="6"/>
    </row>
    <row r="196" spans="2:10" x14ac:dyDescent="0.25">
      <c r="B196" s="6"/>
      <c r="C196" s="7"/>
      <c r="D196" s="7"/>
      <c r="E196" s="7">
        <f>SUM(R8,R9,R10)</f>
        <v>0</v>
      </c>
      <c r="F196" s="8" t="str">
        <f>IF(E196=0,"",IF(E196&gt;=Options!$A$81,Options!$B$81,IF(E196&gt;=Options!$A$82,Options!$B$82,Options!$B$83)))</f>
        <v/>
      </c>
      <c r="G196" s="7"/>
      <c r="H196" s="6"/>
      <c r="I196" s="6"/>
      <c r="J196" s="6"/>
    </row>
    <row r="197" spans="2:10" x14ac:dyDescent="0.25">
      <c r="B197" s="6"/>
      <c r="C197" s="7"/>
      <c r="D197" s="7"/>
      <c r="E197" s="7"/>
      <c r="F197" s="7"/>
      <c r="G197" s="7"/>
      <c r="H197" s="6"/>
      <c r="I197" s="6"/>
      <c r="J197" s="6"/>
    </row>
    <row r="198" spans="2:10" x14ac:dyDescent="0.25">
      <c r="B198" s="6"/>
      <c r="C198" s="7"/>
      <c r="D198" s="7"/>
      <c r="E198" s="7"/>
      <c r="F198" s="7"/>
      <c r="G198" s="7"/>
      <c r="H198" s="6"/>
      <c r="I198" s="6"/>
      <c r="J198" s="6"/>
    </row>
    <row r="199" spans="2:10" x14ac:dyDescent="0.25">
      <c r="B199" s="6"/>
      <c r="C199" s="6"/>
      <c r="D199" s="6"/>
      <c r="E199" s="6"/>
      <c r="F199" s="6"/>
      <c r="G199" s="6"/>
      <c r="H199" s="6"/>
      <c r="I199" s="6"/>
      <c r="J199" s="6"/>
    </row>
    <row r="200" spans="2:10" x14ac:dyDescent="0.25">
      <c r="B200" s="6"/>
      <c r="C200" s="7"/>
      <c r="D200" s="7"/>
      <c r="E200" s="7"/>
      <c r="F200" s="7"/>
      <c r="G200" s="7"/>
      <c r="H200" s="7"/>
      <c r="I200" s="7"/>
      <c r="J200" s="6"/>
    </row>
    <row r="201" spans="2:10" x14ac:dyDescent="0.25">
      <c r="B201" s="6"/>
      <c r="C201" s="7"/>
      <c r="D201" s="7"/>
      <c r="E201" s="7"/>
      <c r="F201" s="7"/>
      <c r="G201" s="7"/>
      <c r="H201" s="7"/>
      <c r="I201" s="7"/>
      <c r="J201" s="6"/>
    </row>
    <row r="202" spans="2:10" x14ac:dyDescent="0.25">
      <c r="B202" s="6"/>
      <c r="C202" s="7"/>
      <c r="D202" s="7"/>
      <c r="E202" s="7"/>
      <c r="F202" s="7"/>
      <c r="G202" s="7"/>
      <c r="H202" s="7"/>
      <c r="I202" s="7"/>
      <c r="J202" s="6"/>
    </row>
    <row r="203" spans="2:10" x14ac:dyDescent="0.25">
      <c r="B203" s="6"/>
      <c r="C203" s="7"/>
      <c r="D203" s="7"/>
      <c r="E203" s="7"/>
      <c r="F203" s="7"/>
      <c r="G203" s="7"/>
      <c r="H203" s="7"/>
      <c r="I203" s="7"/>
      <c r="J203" s="6"/>
    </row>
    <row r="204" spans="2:10" x14ac:dyDescent="0.25">
      <c r="B204" s="6"/>
      <c r="C204" s="7"/>
      <c r="D204" s="7"/>
      <c r="E204" s="7"/>
      <c r="F204" s="7"/>
      <c r="G204" s="7"/>
      <c r="H204" s="7"/>
      <c r="I204" s="7"/>
      <c r="J204" s="6"/>
    </row>
    <row r="205" spans="2:10" x14ac:dyDescent="0.25">
      <c r="B205" s="6"/>
      <c r="C205" s="7"/>
      <c r="D205" s="7"/>
      <c r="E205" s="7"/>
      <c r="F205" s="7"/>
      <c r="G205" s="7"/>
      <c r="H205" s="7"/>
      <c r="I205" s="7"/>
      <c r="J205" s="6"/>
    </row>
    <row r="206" spans="2:10" x14ac:dyDescent="0.25">
      <c r="B206" s="6"/>
      <c r="C206" s="7"/>
      <c r="D206" s="7"/>
      <c r="E206" s="7"/>
      <c r="F206" s="7"/>
      <c r="G206" s="7"/>
      <c r="H206" s="7"/>
      <c r="I206" s="7"/>
      <c r="J206" s="6"/>
    </row>
    <row r="207" spans="2:10" x14ac:dyDescent="0.25">
      <c r="B207" s="6"/>
      <c r="C207" s="6"/>
      <c r="D207" s="6"/>
      <c r="E207" s="6"/>
      <c r="F207" s="6"/>
      <c r="G207" s="6"/>
      <c r="H207" s="6"/>
      <c r="I207" s="6"/>
      <c r="J207" s="6"/>
    </row>
    <row r="208" spans="2:10" x14ac:dyDescent="0.25">
      <c r="B208" s="6"/>
      <c r="C208" s="7"/>
      <c r="D208" s="7"/>
      <c r="E208" s="7"/>
      <c r="F208" s="6"/>
      <c r="G208" s="6"/>
      <c r="H208" s="6"/>
      <c r="I208" s="6"/>
      <c r="J208" s="6"/>
    </row>
    <row r="209" spans="2:10" x14ac:dyDescent="0.25">
      <c r="B209" s="6"/>
      <c r="C209" s="7"/>
      <c r="D209" s="7"/>
      <c r="E209" s="7"/>
      <c r="F209" s="6"/>
      <c r="G209" s="6"/>
      <c r="H209" s="6"/>
      <c r="I209" s="6"/>
      <c r="J209" s="6"/>
    </row>
    <row r="210" spans="2:10" x14ac:dyDescent="0.25">
      <c r="B210" s="6"/>
      <c r="C210" s="7"/>
      <c r="D210" s="7"/>
      <c r="E210" s="7"/>
      <c r="F210" s="6"/>
      <c r="G210" s="6"/>
      <c r="H210" s="6"/>
      <c r="I210" s="6"/>
      <c r="J210" s="6"/>
    </row>
    <row r="211" spans="2:10" x14ac:dyDescent="0.25">
      <c r="B211" s="6"/>
      <c r="C211" s="7"/>
      <c r="D211" s="7"/>
      <c r="E211" s="7"/>
      <c r="F211" s="6"/>
      <c r="G211" s="6"/>
      <c r="H211" s="6"/>
      <c r="I211" s="6"/>
      <c r="J211" s="6"/>
    </row>
    <row r="212" spans="2:10" x14ac:dyDescent="0.25">
      <c r="B212" s="6"/>
      <c r="C212" s="7"/>
      <c r="D212" s="7"/>
      <c r="E212" s="7"/>
      <c r="F212" s="6"/>
      <c r="G212" s="6"/>
      <c r="H212" s="6"/>
      <c r="I212" s="6"/>
      <c r="J212" s="6"/>
    </row>
    <row r="213" spans="2:10" x14ac:dyDescent="0.25">
      <c r="B213" s="6"/>
      <c r="C213" s="7"/>
      <c r="D213" s="7"/>
      <c r="E213" s="7"/>
      <c r="F213" s="6"/>
      <c r="G213" s="6"/>
      <c r="H213" s="6"/>
      <c r="I213" s="6"/>
      <c r="J213" s="6"/>
    </row>
    <row r="214" spans="2:10" x14ac:dyDescent="0.25">
      <c r="B214" s="6"/>
      <c r="C214" s="7"/>
      <c r="D214" s="7"/>
      <c r="E214" s="7">
        <f>COUNTIF(P162:P165,TRUE)</f>
        <v>0</v>
      </c>
      <c r="F214" s="6"/>
      <c r="G214" s="6"/>
      <c r="H214" s="6"/>
      <c r="I214" s="6"/>
      <c r="J214" s="6"/>
    </row>
    <row r="215" spans="2:10" x14ac:dyDescent="0.25">
      <c r="B215" s="6"/>
      <c r="C215" s="6"/>
      <c r="D215" s="6"/>
      <c r="E215" s="6"/>
      <c r="F215" s="6"/>
      <c r="G215" s="6"/>
      <c r="H215" s="6"/>
      <c r="I215" s="6"/>
      <c r="J215" s="6"/>
    </row>
    <row r="217" spans="2:10" x14ac:dyDescent="0.25">
      <c r="B217" s="6"/>
      <c r="C217" s="6"/>
      <c r="D217" s="6"/>
      <c r="E217" s="6"/>
      <c r="F217" s="6"/>
    </row>
    <row r="218" spans="2:10" x14ac:dyDescent="0.25">
      <c r="B218" s="6"/>
      <c r="C218" s="6"/>
      <c r="D218" s="6"/>
      <c r="E218" s="6"/>
      <c r="F218" s="6"/>
    </row>
    <row r="219" spans="2:10" x14ac:dyDescent="0.25">
      <c r="B219" s="6"/>
      <c r="C219" s="6"/>
      <c r="D219" s="6"/>
      <c r="E219" s="6"/>
      <c r="F219" s="6"/>
    </row>
  </sheetData>
  <protectedRanges>
    <protectedRange algorithmName="SHA-512" hashValue="S66WU2iqSW60hQPWl/yX/dXYrrLGZHs8swCcrveV7IhGAabPZOAjRVsPAWZqzRQ5gTgoKgUBkzTtXqBmuT/pmg==" saltValue="RUjcUZk1KQRhNf2pSaa0pg==" spinCount="100000" sqref="C37 C43 P193:Q1048576 R166:R1048576 Q168 C175 E214 E196 Q44 Q5 R159:R162 Q2:Q3 Q7:Q34 Q36:Q38 Q40 Q42 Q46:Q48 Q50 Q52 Q151 Q153:Q155 Q157 Q159 Q161:Q166 Q145 Q147 Q149 Q54:Q92 Q100 Q102:Q104 Q106 Q108 Q110:Q143 Q94 Q96 Q98 R2:R62" name="Nurse" securityDescriptor="O:WDG:WDD:(A;;CC;;;WD)"/>
  </protectedRanges>
  <mergeCells count="6">
    <mergeCell ref="C175:H178"/>
    <mergeCell ref="C37:H40"/>
    <mergeCell ref="C43:H46"/>
    <mergeCell ref="C92:H96"/>
    <mergeCell ref="C98:H102"/>
    <mergeCell ref="C119:H12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3" r:id="rId4" name="Group Box 5">
              <controlPr defaultSize="0" autoFill="0" autoPict="0">
                <anchor mov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5" name="Option Button 6">
              <controlPr locked="0" defaultSize="0" autoFill="0" autoLine="0" autoPict="0">
                <anchor moveWithCells="1">
                  <from>
                    <xdr:col>2</xdr:col>
                    <xdr:colOff>123825</xdr:colOff>
                    <xdr:row>4</xdr:row>
                    <xdr:rowOff>0</xdr:rowOff>
                  </from>
                  <to>
                    <xdr:col>3</xdr:col>
                    <xdr:colOff>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6" name="Option Button 9">
              <controlPr locked="0" defaultSize="0" autoFill="0" autoLine="0" autoPict="0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4</xdr:col>
                    <xdr:colOff>485775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7" name="Group Box 12">
              <controlPr defaultSize="0" autoFill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8" name="Drop Down 13">
              <controlPr locked="0" defaultSize="0" autoLine="0" autoPict="0">
                <anchor moveWithCells="1">
                  <from>
                    <xdr:col>2</xdr:col>
                    <xdr:colOff>371475</xdr:colOff>
                    <xdr:row>12</xdr:row>
                    <xdr:rowOff>0</xdr:rowOff>
                  </from>
                  <to>
                    <xdr:col>5</xdr:col>
                    <xdr:colOff>371475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9" name="Group Box 14">
              <controlPr defaultSize="0" autoFill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0" name="Drop Down 15">
              <controlPr locked="0" defaultSize="0" autoLine="0" autoPict="0">
                <anchor moveWithCells="1">
                  <from>
                    <xdr:col>2</xdr:col>
                    <xdr:colOff>409575</xdr:colOff>
                    <xdr:row>15</xdr:row>
                    <xdr:rowOff>190500</xdr:rowOff>
                  </from>
                  <to>
                    <xdr:col>5</xdr:col>
                    <xdr:colOff>200025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1" name="Group Box 17">
              <controlPr defaultSize="0" autoFill="0" autoPict="0">
                <anchor moveWithCells="1">
                  <from>
                    <xdr:col>2</xdr:col>
                    <xdr:colOff>0</xdr:colOff>
                    <xdr:row>47</xdr:row>
                    <xdr:rowOff>0</xdr:rowOff>
                  </from>
                  <to>
                    <xdr:col>6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12" name="Drop Down 19">
              <controlPr defaultSize="0" autoLine="0" autoPict="0">
                <anchor moveWithCells="1">
                  <from>
                    <xdr:col>2</xdr:col>
                    <xdr:colOff>219075</xdr:colOff>
                    <xdr:row>48</xdr:row>
                    <xdr:rowOff>0</xdr:rowOff>
                  </from>
                  <to>
                    <xdr:col>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13" name="Group Box 20">
              <controlPr defaultSize="0" autoFill="0" autoPict="0">
                <anchor moveWithCells="1">
                  <from>
                    <xdr:col>2</xdr:col>
                    <xdr:colOff>0</xdr:colOff>
                    <xdr:row>35</xdr:row>
                    <xdr:rowOff>0</xdr:rowOff>
                  </from>
                  <to>
                    <xdr:col>8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14" name="Label 23">
              <controlPr defaultSize="0" autoFill="0" autoLine="0" autoPict="0">
                <anchor moveWithCells="1">
                  <from>
                    <xdr:col>2</xdr:col>
                    <xdr:colOff>0</xdr:colOff>
                    <xdr:row>56</xdr:row>
                    <xdr:rowOff>0</xdr:rowOff>
                  </from>
                  <to>
                    <xdr:col>3</xdr:col>
                    <xdr:colOff>400050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15" name="Label 24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58</xdr:row>
                    <xdr:rowOff>0</xdr:rowOff>
                  </from>
                  <to>
                    <xdr:col>3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16" name="Label 25">
              <controlPr defaultSize="0" autoFill="0" autoLine="0" autoPict="0">
                <anchor moveWithCells="1">
                  <from>
                    <xdr:col>2</xdr:col>
                    <xdr:colOff>0</xdr:colOff>
                    <xdr:row>60</xdr:row>
                    <xdr:rowOff>0</xdr:rowOff>
                  </from>
                  <to>
                    <xdr:col>3</xdr:col>
                    <xdr:colOff>400050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17" name="Drop Down 26">
              <controlPr defaultSize="0" autoLine="0" autoPict="0">
                <anchor moveWithCells="1">
                  <from>
                    <xdr:col>4</xdr:col>
                    <xdr:colOff>0</xdr:colOff>
                    <xdr:row>56</xdr:row>
                    <xdr:rowOff>0</xdr:rowOff>
                  </from>
                  <to>
                    <xdr:col>6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18" name="Drop Down 27">
              <controlPr defaultSize="0" autoLine="0" autoPict="0">
                <anchor moveWithCells="1">
                  <from>
                    <xdr:col>4</xdr:col>
                    <xdr:colOff>0</xdr:colOff>
                    <xdr:row>57</xdr:row>
                    <xdr:rowOff>180975</xdr:rowOff>
                  </from>
                  <to>
                    <xdr:col>6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19" name="Drop Down 28">
              <controlPr defaultSize="0" autoLine="0" autoPict="0">
                <anchor moveWithCells="1">
                  <from>
                    <xdr:col>4</xdr:col>
                    <xdr:colOff>0</xdr:colOff>
                    <xdr:row>59</xdr:row>
                    <xdr:rowOff>180975</xdr:rowOff>
                  </from>
                  <to>
                    <xdr:col>6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" r:id="rId20" name="Group Box 30">
              <controlPr defaultSize="0" autoFill="0" autoPict="0">
                <anchor moveWithCells="1">
                  <from>
                    <xdr:col>2</xdr:col>
                    <xdr:colOff>0</xdr:colOff>
                    <xdr:row>41</xdr:row>
                    <xdr:rowOff>0</xdr:rowOff>
                  </from>
                  <to>
                    <xdr:col>8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" r:id="rId21" name="Label 32">
              <controlPr defaultSize="0" autoFill="0" autoLine="0" autoPict="0">
                <anchor moveWithCells="1">
                  <from>
                    <xdr:col>2</xdr:col>
                    <xdr:colOff>0</xdr:colOff>
                    <xdr:row>67</xdr:row>
                    <xdr:rowOff>0</xdr:rowOff>
                  </from>
                  <to>
                    <xdr:col>3</xdr:col>
                    <xdr:colOff>400050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" r:id="rId22" name="Label 33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69</xdr:row>
                    <xdr:rowOff>9525</xdr:rowOff>
                  </from>
                  <to>
                    <xdr:col>3</xdr:col>
                    <xdr:colOff>0</xdr:colOff>
                    <xdr:row>70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" r:id="rId23" name="Label 34">
              <controlPr defaultSize="0" autoFill="0" autoLine="0" autoPict="0">
                <anchor moveWithCells="1">
                  <from>
                    <xdr:col>2</xdr:col>
                    <xdr:colOff>0</xdr:colOff>
                    <xdr:row>71</xdr:row>
                    <xdr:rowOff>0</xdr:rowOff>
                  </from>
                  <to>
                    <xdr:col>3</xdr:col>
                    <xdr:colOff>400050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3" r:id="rId24" name="Drop Down 35">
              <controlPr defaultSize="0" autoLine="0" autoPict="0">
                <anchor mov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8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5" r:id="rId25" name="Drop Down 37">
              <controlPr defaultSize="0" autoLine="0" autoPict="0">
                <anchor moveWithCells="1">
                  <from>
                    <xdr:col>3</xdr:col>
                    <xdr:colOff>0</xdr:colOff>
                    <xdr:row>70</xdr:row>
                    <xdr:rowOff>180975</xdr:rowOff>
                  </from>
                  <to>
                    <xdr:col>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0" r:id="rId26" name="Check Box 42">
              <controlPr defaultSize="0" autoFill="0" autoLine="0" autoPict="0">
                <anchor moveWithCells="1">
                  <from>
                    <xdr:col>2</xdr:col>
                    <xdr:colOff>0</xdr:colOff>
                    <xdr:row>77</xdr:row>
                    <xdr:rowOff>0</xdr:rowOff>
                  </from>
                  <to>
                    <xdr:col>3</xdr:col>
                    <xdr:colOff>400050</xdr:colOff>
                    <xdr:row>78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1" r:id="rId27" name="Check Box 43">
              <controlPr defaultSize="0" autoFill="0" autoLine="0" autoPict="0">
                <anchor moveWithCells="1">
                  <from>
                    <xdr:col>2</xdr:col>
                    <xdr:colOff>0</xdr:colOff>
                    <xdr:row>78</xdr:row>
                    <xdr:rowOff>0</xdr:rowOff>
                  </from>
                  <to>
                    <xdr:col>3</xdr:col>
                    <xdr:colOff>400050</xdr:colOff>
                    <xdr:row>79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3" r:id="rId28" name="Label 45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80</xdr:row>
                    <xdr:rowOff>0</xdr:rowOff>
                  </from>
                  <to>
                    <xdr:col>3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4" r:id="rId29" name="Group Box 46">
              <controlPr defaultSize="0" autoFill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6" r:id="rId30" name="Check Box 48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3</xdr:col>
                    <xdr:colOff>581025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7" r:id="rId31" name="Check Box 49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3</xdr:col>
                    <xdr:colOff>581025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8" r:id="rId32" name="Check Box 50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180975</xdr:rowOff>
                  </from>
                  <to>
                    <xdr:col>3</xdr:col>
                    <xdr:colOff>581025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9" r:id="rId33" name="Check Box 51">
              <controlPr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180975</xdr:rowOff>
                  </from>
                  <to>
                    <xdr:col>3</xdr:col>
                    <xdr:colOff>581025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0" r:id="rId34" name="Check Box 52">
              <controlPr defaultSize="0" autoFill="0" autoLine="0" autoPict="0">
                <anchor moveWithCells="1">
                  <from>
                    <xdr:col>2</xdr:col>
                    <xdr:colOff>0</xdr:colOff>
                    <xdr:row>26</xdr:row>
                    <xdr:rowOff>180975</xdr:rowOff>
                  </from>
                  <to>
                    <xdr:col>3</xdr:col>
                    <xdr:colOff>581025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1" r:id="rId35" name="Check Box 53">
              <controlPr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171450</xdr:rowOff>
                  </from>
                  <to>
                    <xdr:col>3</xdr:col>
                    <xdr:colOff>581025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2" r:id="rId36" name="Check Box 54">
              <controlPr defaultSize="0" autoFill="0" autoLine="0" autoPict="0">
                <anchor moveWithCells="1">
                  <from>
                    <xdr:col>2</xdr:col>
                    <xdr:colOff>0</xdr:colOff>
                    <xdr:row>28</xdr:row>
                    <xdr:rowOff>171450</xdr:rowOff>
                  </from>
                  <to>
                    <xdr:col>3</xdr:col>
                    <xdr:colOff>581025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3" r:id="rId37" name="Check Box 55">
              <controlPr defaultSize="0" autoFill="0" autoLine="0" autoPict="0">
                <anchor moveWithCells="1">
                  <from>
                    <xdr:col>2</xdr:col>
                    <xdr:colOff>0</xdr:colOff>
                    <xdr:row>29</xdr:row>
                    <xdr:rowOff>171450</xdr:rowOff>
                  </from>
                  <to>
                    <xdr:col>3</xdr:col>
                    <xdr:colOff>581025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4" r:id="rId38" name="Check Box 56">
              <controlPr defaultSize="0" autoFill="0" autoLine="0" autoPict="0">
                <anchor moveWithCells="1">
                  <from>
                    <xdr:col>2</xdr:col>
                    <xdr:colOff>0</xdr:colOff>
                    <xdr:row>30</xdr:row>
                    <xdr:rowOff>161925</xdr:rowOff>
                  </from>
                  <to>
                    <xdr:col>3</xdr:col>
                    <xdr:colOff>581025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5" r:id="rId39" name="Check Box 57">
              <controlPr defaultSize="0" autoFill="0" autoLine="0" autoPict="0">
                <anchor moveWithCells="1">
                  <from>
                    <xdr:col>2</xdr:col>
                    <xdr:colOff>0</xdr:colOff>
                    <xdr:row>31</xdr:row>
                    <xdr:rowOff>161925</xdr:rowOff>
                  </from>
                  <to>
                    <xdr:col>3</xdr:col>
                    <xdr:colOff>581025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6" r:id="rId40" name="Check Box 58">
              <controlPr defaultSize="0" autoFill="0" autoLine="0" autoPict="0">
                <anchor moveWithCells="1">
                  <from>
                    <xdr:col>4</xdr:col>
                    <xdr:colOff>152400</xdr:colOff>
                    <xdr:row>23</xdr:row>
                    <xdr:rowOff>0</xdr:rowOff>
                  </from>
                  <to>
                    <xdr:col>6</xdr:col>
                    <xdr:colOff>114300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7" r:id="rId41" name="Check Box 59">
              <controlPr defaultSize="0" autoFill="0" autoLine="0" autoPict="0">
                <anchor moveWithCells="1">
                  <from>
                    <xdr:col>4</xdr:col>
                    <xdr:colOff>152400</xdr:colOff>
                    <xdr:row>24</xdr:row>
                    <xdr:rowOff>0</xdr:rowOff>
                  </from>
                  <to>
                    <xdr:col>6</xdr:col>
                    <xdr:colOff>114300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8" r:id="rId42" name="Check Box 60">
              <controlPr defaultSize="0" autoFill="0" autoLine="0" autoPict="0">
                <anchor moveWithCells="1">
                  <from>
                    <xdr:col>4</xdr:col>
                    <xdr:colOff>152400</xdr:colOff>
                    <xdr:row>24</xdr:row>
                    <xdr:rowOff>180975</xdr:rowOff>
                  </from>
                  <to>
                    <xdr:col>6</xdr:col>
                    <xdr:colOff>114300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9" r:id="rId43" name="Check Box 61">
              <controlPr defaultSize="0" autoFill="0" autoLine="0" autoPict="0">
                <anchor moveWithCells="1">
                  <from>
                    <xdr:col>4</xdr:col>
                    <xdr:colOff>152400</xdr:colOff>
                    <xdr:row>25</xdr:row>
                    <xdr:rowOff>180975</xdr:rowOff>
                  </from>
                  <to>
                    <xdr:col>6</xdr:col>
                    <xdr:colOff>114300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0" r:id="rId44" name="Check Box 62">
              <controlPr defaultSize="0" autoFill="0" autoLine="0" autoPict="0">
                <anchor moveWithCells="1">
                  <from>
                    <xdr:col>4</xdr:col>
                    <xdr:colOff>152400</xdr:colOff>
                    <xdr:row>26</xdr:row>
                    <xdr:rowOff>180975</xdr:rowOff>
                  </from>
                  <to>
                    <xdr:col>6</xdr:col>
                    <xdr:colOff>114300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1" r:id="rId45" name="Check Box 63">
              <controlPr defaultSize="0" autoFill="0" autoLine="0" autoPict="0">
                <anchor moveWithCells="1">
                  <from>
                    <xdr:col>4</xdr:col>
                    <xdr:colOff>152400</xdr:colOff>
                    <xdr:row>27</xdr:row>
                    <xdr:rowOff>171450</xdr:rowOff>
                  </from>
                  <to>
                    <xdr:col>6</xdr:col>
                    <xdr:colOff>114300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2" r:id="rId46" name="Check Box 64">
              <controlPr defaultSize="0" autoFill="0" autoLine="0" autoPict="0">
                <anchor moveWithCells="1">
                  <from>
                    <xdr:col>4</xdr:col>
                    <xdr:colOff>152400</xdr:colOff>
                    <xdr:row>28</xdr:row>
                    <xdr:rowOff>171450</xdr:rowOff>
                  </from>
                  <to>
                    <xdr:col>6</xdr:col>
                    <xdr:colOff>114300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3" r:id="rId47" name="Check Box 65">
              <controlPr defaultSize="0" autoFill="0" autoLine="0" autoPict="0">
                <anchor moveWithCells="1">
                  <from>
                    <xdr:col>4</xdr:col>
                    <xdr:colOff>152400</xdr:colOff>
                    <xdr:row>29</xdr:row>
                    <xdr:rowOff>171450</xdr:rowOff>
                  </from>
                  <to>
                    <xdr:col>6</xdr:col>
                    <xdr:colOff>114300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4" r:id="rId48" name="Check Box 66">
              <controlPr defaultSize="0" autoFill="0" autoLine="0" autoPict="0">
                <anchor moveWithCells="1">
                  <from>
                    <xdr:col>4</xdr:col>
                    <xdr:colOff>152400</xdr:colOff>
                    <xdr:row>30</xdr:row>
                    <xdr:rowOff>161925</xdr:rowOff>
                  </from>
                  <to>
                    <xdr:col>6</xdr:col>
                    <xdr:colOff>114300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5" r:id="rId49" name="Check Box 67">
              <controlPr defaultSize="0" autoFill="0" autoLine="0" autoPict="0">
                <anchor moveWithCells="1">
                  <from>
                    <xdr:col>4</xdr:col>
                    <xdr:colOff>152400</xdr:colOff>
                    <xdr:row>31</xdr:row>
                    <xdr:rowOff>161925</xdr:rowOff>
                  </from>
                  <to>
                    <xdr:col>6</xdr:col>
                    <xdr:colOff>114300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6" r:id="rId50" name="Check Box 68">
              <controlPr defaultSize="0" autoFill="0" autoLine="0" autoPict="0">
                <anchor moveWithCells="1">
                  <from>
                    <xdr:col>6</xdr:col>
                    <xdr:colOff>228600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9" r:id="rId51" name="Check Box 71">
              <controlPr defaultSize="0" autoFill="0" autoLine="0" autoPict="0">
                <anchor moveWithCells="1">
                  <from>
                    <xdr:col>6</xdr:col>
                    <xdr:colOff>228600</xdr:colOff>
                    <xdr:row>23</xdr:row>
                    <xdr:rowOff>180975</xdr:rowOff>
                  </from>
                  <to>
                    <xdr:col>9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0" r:id="rId52" name="Check Box 72">
              <controlPr defaultSize="0" autoFill="0" autoLine="0" autoPict="0">
                <anchor moveWithCells="1">
                  <from>
                    <xdr:col>6</xdr:col>
                    <xdr:colOff>228600</xdr:colOff>
                    <xdr:row>24</xdr:row>
                    <xdr:rowOff>180975</xdr:rowOff>
                  </from>
                  <to>
                    <xdr:col>8</xdr:col>
                    <xdr:colOff>200025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1" r:id="rId53" name="Check Box 73">
              <controlPr defaultSize="0" autoFill="0" autoLine="0" autoPict="0">
                <anchor moveWithCells="1">
                  <from>
                    <xdr:col>6</xdr:col>
                    <xdr:colOff>228600</xdr:colOff>
                    <xdr:row>25</xdr:row>
                    <xdr:rowOff>171450</xdr:rowOff>
                  </from>
                  <to>
                    <xdr:col>8</xdr:col>
                    <xdr:colOff>200025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2" r:id="rId54" name="Check Box 74">
              <controlPr defaultSize="0" autoFill="0" autoLine="0" autoPict="0">
                <anchor moveWithCells="1">
                  <from>
                    <xdr:col>6</xdr:col>
                    <xdr:colOff>228600</xdr:colOff>
                    <xdr:row>26</xdr:row>
                    <xdr:rowOff>171450</xdr:rowOff>
                  </from>
                  <to>
                    <xdr:col>8</xdr:col>
                    <xdr:colOff>200025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3" r:id="rId55" name="Check Box 75">
              <controlPr defaultSize="0" autoFill="0" autoLine="0" autoPict="0">
                <anchor moveWithCells="1">
                  <from>
                    <xdr:col>6</xdr:col>
                    <xdr:colOff>228600</xdr:colOff>
                    <xdr:row>27</xdr:row>
                    <xdr:rowOff>161925</xdr:rowOff>
                  </from>
                  <to>
                    <xdr:col>8</xdr:col>
                    <xdr:colOff>200025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4" r:id="rId56" name="Check Box 76">
              <controlPr defaultSize="0" autoFill="0" autoLine="0" autoPict="0">
                <anchor moveWithCells="1">
                  <from>
                    <xdr:col>6</xdr:col>
                    <xdr:colOff>228600</xdr:colOff>
                    <xdr:row>28</xdr:row>
                    <xdr:rowOff>161925</xdr:rowOff>
                  </from>
                  <to>
                    <xdr:col>8</xdr:col>
                    <xdr:colOff>200025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" r:id="rId57" name="Group Box 31">
              <controlPr defaultSize="0" autoFill="0" autoPict="0">
                <anchor moveWithCells="1">
                  <from>
                    <xdr:col>2</xdr:col>
                    <xdr:colOff>0</xdr:colOff>
                    <xdr:row>66</xdr:row>
                    <xdr:rowOff>0</xdr:rowOff>
                  </from>
                  <to>
                    <xdr:col>9</xdr:col>
                    <xdr:colOff>0</xdr:colOff>
                    <xdr:row>72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4" r:id="rId58" name="Drop Down 36">
              <controlPr defaultSize="0" autoLine="0" autoPict="0">
                <anchor moveWithCells="1">
                  <from>
                    <xdr:col>3</xdr:col>
                    <xdr:colOff>0</xdr:colOff>
                    <xdr:row>68</xdr:row>
                    <xdr:rowOff>180975</xdr:rowOff>
                  </from>
                  <to>
                    <xdr:col>8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0" r:id="rId59" name="Drop Down 92">
              <controlPr defaultSize="0" autoLine="0" autoPict="0">
                <anchor moveWithCells="1">
                  <from>
                    <xdr:col>2</xdr:col>
                    <xdr:colOff>209550</xdr:colOff>
                    <xdr:row>52</xdr:row>
                    <xdr:rowOff>0</xdr:rowOff>
                  </from>
                  <to>
                    <xdr:col>5</xdr:col>
                    <xdr:colOff>0</xdr:colOff>
                    <xdr:row>53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8" r:id="rId60" name="Button 120">
              <controlPr defaultSize="0" print="0" autoFill="0" autoPict="0" macro="[0]!CreateRecord">
                <anchor moveWithCells="1" sizeWithCells="1">
                  <from>
                    <xdr:col>2</xdr:col>
                    <xdr:colOff>495300</xdr:colOff>
                    <xdr:row>220</xdr:row>
                    <xdr:rowOff>76200</xdr:rowOff>
                  </from>
                  <to>
                    <xdr:col>7</xdr:col>
                    <xdr:colOff>228600</xdr:colOff>
                    <xdr:row>223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" r:id="rId61" name="Label 29">
              <controlPr defaultSize="0" autoFill="0" autoLine="0" autoPict="0">
                <anchor moveWithCells="1">
                  <from>
                    <xdr:col>2</xdr:col>
                    <xdr:colOff>0</xdr:colOff>
                    <xdr:row>63</xdr:row>
                    <xdr:rowOff>0</xdr:rowOff>
                  </from>
                  <to>
                    <xdr:col>3</xdr:col>
                    <xdr:colOff>400050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8" r:id="rId62" name="Group Box 130">
              <controlPr defaultSize="0" autoFill="0" autoPict="0">
                <anchor moveWithCells="1">
                  <from>
                    <xdr:col>1</xdr:col>
                    <xdr:colOff>0</xdr:colOff>
                    <xdr:row>216</xdr:row>
                    <xdr:rowOff>0</xdr:rowOff>
                  </from>
                  <to>
                    <xdr:col>6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9" r:id="rId63" name="Drop Down 131">
              <controlPr defaultSize="0" autoLine="0" autoPict="0">
                <anchor moveWithCells="1">
                  <from>
                    <xdr:col>1</xdr:col>
                    <xdr:colOff>419100</xdr:colOff>
                    <xdr:row>217</xdr:row>
                    <xdr:rowOff>0</xdr:rowOff>
                  </from>
                  <to>
                    <xdr:col>5</xdr:col>
                    <xdr:colOff>419100</xdr:colOff>
                    <xdr:row>218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2" r:id="rId64" name="Group Box 134">
              <controlPr defaultSize="0" autoFill="0" autoPict="0">
                <anchor moveWithCells="1">
                  <from>
                    <xdr:col>2</xdr:col>
                    <xdr:colOff>0</xdr:colOff>
                    <xdr:row>179</xdr:row>
                    <xdr:rowOff>0</xdr:rowOff>
                  </from>
                  <to>
                    <xdr:col>6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3" r:id="rId65" name="Drop Down 135">
              <controlPr defaultSize="0" autoLine="0" autoPict="0">
                <anchor moveWithCells="1">
                  <from>
                    <xdr:col>2</xdr:col>
                    <xdr:colOff>285750</xdr:colOff>
                    <xdr:row>180</xdr:row>
                    <xdr:rowOff>0</xdr:rowOff>
                  </from>
                  <to>
                    <xdr:col>5</xdr:col>
                    <xdr:colOff>66675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4" r:id="rId66" name="Group Box 136">
              <controlPr defaultSize="0" autoFill="0" autoPict="0">
                <anchor moveWithCells="1">
                  <from>
                    <xdr:col>2</xdr:col>
                    <xdr:colOff>0</xdr:colOff>
                    <xdr:row>173</xdr:row>
                    <xdr:rowOff>0</xdr:rowOff>
                  </from>
                  <to>
                    <xdr:col>8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5" r:id="rId67" name="Label 137">
              <controlPr defaultSize="0" autoFill="0" autoLine="0" autoPict="0">
                <anchor moveWithCells="1">
                  <from>
                    <xdr:col>2</xdr:col>
                    <xdr:colOff>0</xdr:colOff>
                    <xdr:row>188</xdr:row>
                    <xdr:rowOff>0</xdr:rowOff>
                  </from>
                  <to>
                    <xdr:col>3</xdr:col>
                    <xdr:colOff>400050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6" r:id="rId68" name="Label 138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190</xdr:row>
                    <xdr:rowOff>0</xdr:rowOff>
                  </from>
                  <to>
                    <xdr:col>3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7" r:id="rId69" name="Label 139">
              <controlPr defaultSize="0" autoFill="0" autoLine="0" autoPict="0">
                <anchor moveWithCells="1">
                  <from>
                    <xdr:col>2</xdr:col>
                    <xdr:colOff>0</xdr:colOff>
                    <xdr:row>192</xdr:row>
                    <xdr:rowOff>0</xdr:rowOff>
                  </from>
                  <to>
                    <xdr:col>3</xdr:col>
                    <xdr:colOff>400050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8" r:id="rId70" name="Drop Down 140">
              <controlPr defaultSize="0" autoLine="0" autoPict="0">
                <anchor moveWithCells="1">
                  <from>
                    <xdr:col>4</xdr:col>
                    <xdr:colOff>0</xdr:colOff>
                    <xdr:row>188</xdr:row>
                    <xdr:rowOff>0</xdr:rowOff>
                  </from>
                  <to>
                    <xdr:col>6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9" r:id="rId71" name="Drop Down 141">
              <controlPr defaultSize="0" autoLine="0" autoPict="0">
                <anchor moveWithCells="1">
                  <from>
                    <xdr:col>4</xdr:col>
                    <xdr:colOff>0</xdr:colOff>
                    <xdr:row>189</xdr:row>
                    <xdr:rowOff>180975</xdr:rowOff>
                  </from>
                  <to>
                    <xdr:col>6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0" r:id="rId72" name="Drop Down 142">
              <controlPr defaultSize="0" autoLine="0" autoPict="0">
                <anchor moveWithCells="1">
                  <from>
                    <xdr:col>4</xdr:col>
                    <xdr:colOff>0</xdr:colOff>
                    <xdr:row>191</xdr:row>
                    <xdr:rowOff>180975</xdr:rowOff>
                  </from>
                  <to>
                    <xdr:col>6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4" r:id="rId73" name="Drop Down 146">
              <controlPr defaultSize="0" autoLine="0" autoPict="0">
                <anchor moveWithCells="1">
                  <from>
                    <xdr:col>3</xdr:col>
                    <xdr:colOff>0</xdr:colOff>
                    <xdr:row>200</xdr:row>
                    <xdr:rowOff>0</xdr:rowOff>
                  </from>
                  <to>
                    <xdr:col>8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5" r:id="rId74" name="Drop Down 147">
              <controlPr defaultSize="0" autoLine="0" autoPict="0">
                <anchor moveWithCells="1">
                  <from>
                    <xdr:col>3</xdr:col>
                    <xdr:colOff>0</xdr:colOff>
                    <xdr:row>203</xdr:row>
                    <xdr:rowOff>180975</xdr:rowOff>
                  </from>
                  <to>
                    <xdr:col>8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6" r:id="rId75" name="Check Box 148">
              <controlPr defaultSize="0" autoFill="0" autoLine="0" autoPict="0">
                <anchor moveWithCells="1">
                  <from>
                    <xdr:col>2</xdr:col>
                    <xdr:colOff>0</xdr:colOff>
                    <xdr:row>208</xdr:row>
                    <xdr:rowOff>0</xdr:rowOff>
                  </from>
                  <to>
                    <xdr:col>3</xdr:col>
                    <xdr:colOff>400050</xdr:colOff>
                    <xdr:row>209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7" r:id="rId76" name="Check Box 149">
              <controlPr defaultSize="0" autoFill="0" autoLine="0" autoPict="0">
                <anchor moveWithCells="1">
                  <from>
                    <xdr:col>2</xdr:col>
                    <xdr:colOff>0</xdr:colOff>
                    <xdr:row>209</xdr:row>
                    <xdr:rowOff>0</xdr:rowOff>
                  </from>
                  <to>
                    <xdr:col>3</xdr:col>
                    <xdr:colOff>200025</xdr:colOff>
                    <xdr:row>210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8" r:id="rId77" name="Check Box 150">
              <controlPr defaultSize="0" autoFill="0" autoLine="0" autoPict="0">
                <anchor moveWithCells="1">
                  <from>
                    <xdr:col>2</xdr:col>
                    <xdr:colOff>0</xdr:colOff>
                    <xdr:row>210</xdr:row>
                    <xdr:rowOff>0</xdr:rowOff>
                  </from>
                  <to>
                    <xdr:col>3</xdr:col>
                    <xdr:colOff>400050</xdr:colOff>
                    <xdr:row>211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9" r:id="rId78" name="Check Box 151">
              <controlPr defaultSize="0" autoFill="0" autoLine="0" autoPict="0">
                <anchor moveWithCells="1">
                  <from>
                    <xdr:col>2</xdr:col>
                    <xdr:colOff>0</xdr:colOff>
                    <xdr:row>211</xdr:row>
                    <xdr:rowOff>0</xdr:rowOff>
                  </from>
                  <to>
                    <xdr:col>3</xdr:col>
                    <xdr:colOff>400050</xdr:colOff>
                    <xdr:row>212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0" r:id="rId79" name="Label 152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213</xdr:row>
                    <xdr:rowOff>0</xdr:rowOff>
                  </from>
                  <to>
                    <xdr:col>3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1" r:id="rId80" name="Group Box 153">
              <controlPr defaultSize="0" autoFill="0" autoPict="0">
                <anchor moveWithCells="1">
                  <from>
                    <xdr:col>2</xdr:col>
                    <xdr:colOff>0</xdr:colOff>
                    <xdr:row>160</xdr:row>
                    <xdr:rowOff>0</xdr:rowOff>
                  </from>
                  <to>
                    <xdr:col>9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2" r:id="rId81" name="Check Box 154">
              <controlPr defaultSize="0" autoFill="0" autoLine="0" autoPict="0">
                <anchor moveWithCells="1">
                  <from>
                    <xdr:col>2</xdr:col>
                    <xdr:colOff>0</xdr:colOff>
                    <xdr:row>161</xdr:row>
                    <xdr:rowOff>0</xdr:rowOff>
                  </from>
                  <to>
                    <xdr:col>3</xdr:col>
                    <xdr:colOff>581025</xdr:colOff>
                    <xdr:row>162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3" r:id="rId82" name="Check Box 155">
              <controlPr defaultSize="0" autoFill="0" autoLine="0" autoPict="0">
                <anchor moveWithCells="1">
                  <from>
                    <xdr:col>2</xdr:col>
                    <xdr:colOff>0</xdr:colOff>
                    <xdr:row>162</xdr:row>
                    <xdr:rowOff>0</xdr:rowOff>
                  </from>
                  <to>
                    <xdr:col>3</xdr:col>
                    <xdr:colOff>581025</xdr:colOff>
                    <xdr:row>163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4" r:id="rId83" name="Check Box 156">
              <controlPr defaultSize="0" autoFill="0" autoLine="0" autoPict="0">
                <anchor moveWithCells="1">
                  <from>
                    <xdr:col>2</xdr:col>
                    <xdr:colOff>0</xdr:colOff>
                    <xdr:row>162</xdr:row>
                    <xdr:rowOff>180975</xdr:rowOff>
                  </from>
                  <to>
                    <xdr:col>3</xdr:col>
                    <xdr:colOff>581025</xdr:colOff>
                    <xdr:row>164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5" r:id="rId84" name="Check Box 157">
              <controlPr defaultSize="0" autoFill="0" autoLine="0" autoPict="0">
                <anchor moveWithCells="1">
                  <from>
                    <xdr:col>2</xdr:col>
                    <xdr:colOff>0</xdr:colOff>
                    <xdr:row>163</xdr:row>
                    <xdr:rowOff>180975</xdr:rowOff>
                  </from>
                  <to>
                    <xdr:col>3</xdr:col>
                    <xdr:colOff>581025</xdr:colOff>
                    <xdr:row>165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6" r:id="rId85" name="Check Box 158">
              <controlPr defaultSize="0" autoFill="0" autoLine="0" autoPict="0">
                <anchor moveWithCells="1">
                  <from>
                    <xdr:col>2</xdr:col>
                    <xdr:colOff>0</xdr:colOff>
                    <xdr:row>164</xdr:row>
                    <xdr:rowOff>180975</xdr:rowOff>
                  </from>
                  <to>
                    <xdr:col>3</xdr:col>
                    <xdr:colOff>581025</xdr:colOff>
                    <xdr:row>166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7" r:id="rId86" name="Check Box 159">
              <controlPr defaultSize="0" autoFill="0" autoLine="0" autoPict="0">
                <anchor moveWithCells="1">
                  <from>
                    <xdr:col>2</xdr:col>
                    <xdr:colOff>0</xdr:colOff>
                    <xdr:row>165</xdr:row>
                    <xdr:rowOff>171450</xdr:rowOff>
                  </from>
                  <to>
                    <xdr:col>3</xdr:col>
                    <xdr:colOff>581025</xdr:colOff>
                    <xdr:row>167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8" r:id="rId87" name="Check Box 160">
              <controlPr defaultSize="0" autoFill="0" autoLine="0" autoPict="0">
                <anchor moveWithCells="1">
                  <from>
                    <xdr:col>2</xdr:col>
                    <xdr:colOff>0</xdr:colOff>
                    <xdr:row>166</xdr:row>
                    <xdr:rowOff>171450</xdr:rowOff>
                  </from>
                  <to>
                    <xdr:col>3</xdr:col>
                    <xdr:colOff>581025</xdr:colOff>
                    <xdr:row>168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9" r:id="rId88" name="Check Box 161">
              <controlPr defaultSize="0" autoFill="0" autoLine="0" autoPict="0">
                <anchor moveWithCells="1">
                  <from>
                    <xdr:col>2</xdr:col>
                    <xdr:colOff>0</xdr:colOff>
                    <xdr:row>167</xdr:row>
                    <xdr:rowOff>171450</xdr:rowOff>
                  </from>
                  <to>
                    <xdr:col>3</xdr:col>
                    <xdr:colOff>581025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0" r:id="rId89" name="Check Box 162">
              <controlPr defaultSize="0" autoFill="0" autoLine="0" autoPict="0">
                <anchor moveWithCells="1">
                  <from>
                    <xdr:col>2</xdr:col>
                    <xdr:colOff>0</xdr:colOff>
                    <xdr:row>168</xdr:row>
                    <xdr:rowOff>161925</xdr:rowOff>
                  </from>
                  <to>
                    <xdr:col>3</xdr:col>
                    <xdr:colOff>581025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1" r:id="rId90" name="Check Box 163">
              <controlPr defaultSize="0" autoFill="0" autoLine="0" autoPict="0">
                <anchor moveWithCells="1">
                  <from>
                    <xdr:col>2</xdr:col>
                    <xdr:colOff>0</xdr:colOff>
                    <xdr:row>169</xdr:row>
                    <xdr:rowOff>161925</xdr:rowOff>
                  </from>
                  <to>
                    <xdr:col>3</xdr:col>
                    <xdr:colOff>581025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2" r:id="rId91" name="Check Box 164">
              <controlPr defaultSize="0" autoFill="0" autoLine="0" autoPict="0">
                <anchor moveWithCells="1">
                  <from>
                    <xdr:col>4</xdr:col>
                    <xdr:colOff>152400</xdr:colOff>
                    <xdr:row>161</xdr:row>
                    <xdr:rowOff>0</xdr:rowOff>
                  </from>
                  <to>
                    <xdr:col>6</xdr:col>
                    <xdr:colOff>114300</xdr:colOff>
                    <xdr:row>162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3" r:id="rId92" name="Check Box 165">
              <controlPr defaultSize="0" autoFill="0" autoLine="0" autoPict="0">
                <anchor moveWithCells="1">
                  <from>
                    <xdr:col>4</xdr:col>
                    <xdr:colOff>152400</xdr:colOff>
                    <xdr:row>162</xdr:row>
                    <xdr:rowOff>0</xdr:rowOff>
                  </from>
                  <to>
                    <xdr:col>6</xdr:col>
                    <xdr:colOff>114300</xdr:colOff>
                    <xdr:row>163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4" r:id="rId93" name="Check Box 166">
              <controlPr defaultSize="0" autoFill="0" autoLine="0" autoPict="0">
                <anchor moveWithCells="1">
                  <from>
                    <xdr:col>4</xdr:col>
                    <xdr:colOff>152400</xdr:colOff>
                    <xdr:row>162</xdr:row>
                    <xdr:rowOff>180975</xdr:rowOff>
                  </from>
                  <to>
                    <xdr:col>6</xdr:col>
                    <xdr:colOff>114300</xdr:colOff>
                    <xdr:row>164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5" r:id="rId94" name="Check Box 167">
              <controlPr defaultSize="0" autoFill="0" autoLine="0" autoPict="0">
                <anchor moveWithCells="1">
                  <from>
                    <xdr:col>4</xdr:col>
                    <xdr:colOff>152400</xdr:colOff>
                    <xdr:row>163</xdr:row>
                    <xdr:rowOff>180975</xdr:rowOff>
                  </from>
                  <to>
                    <xdr:col>6</xdr:col>
                    <xdr:colOff>114300</xdr:colOff>
                    <xdr:row>165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6" r:id="rId95" name="Check Box 168">
              <controlPr defaultSize="0" autoFill="0" autoLine="0" autoPict="0">
                <anchor moveWithCells="1">
                  <from>
                    <xdr:col>4</xdr:col>
                    <xdr:colOff>152400</xdr:colOff>
                    <xdr:row>164</xdr:row>
                    <xdr:rowOff>180975</xdr:rowOff>
                  </from>
                  <to>
                    <xdr:col>6</xdr:col>
                    <xdr:colOff>114300</xdr:colOff>
                    <xdr:row>166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7" r:id="rId96" name="Check Box 169">
              <controlPr defaultSize="0" autoFill="0" autoLine="0" autoPict="0">
                <anchor moveWithCells="1">
                  <from>
                    <xdr:col>4</xdr:col>
                    <xdr:colOff>152400</xdr:colOff>
                    <xdr:row>165</xdr:row>
                    <xdr:rowOff>171450</xdr:rowOff>
                  </from>
                  <to>
                    <xdr:col>6</xdr:col>
                    <xdr:colOff>114300</xdr:colOff>
                    <xdr:row>167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8" r:id="rId97" name="Check Box 170">
              <controlPr defaultSize="0" autoFill="0" autoLine="0" autoPict="0">
                <anchor moveWithCells="1">
                  <from>
                    <xdr:col>4</xdr:col>
                    <xdr:colOff>152400</xdr:colOff>
                    <xdr:row>166</xdr:row>
                    <xdr:rowOff>171450</xdr:rowOff>
                  </from>
                  <to>
                    <xdr:col>6</xdr:col>
                    <xdr:colOff>114300</xdr:colOff>
                    <xdr:row>168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9" r:id="rId98" name="Check Box 171">
              <controlPr defaultSize="0" autoFill="0" autoLine="0" autoPict="0">
                <anchor moveWithCells="1">
                  <from>
                    <xdr:col>4</xdr:col>
                    <xdr:colOff>152400</xdr:colOff>
                    <xdr:row>167</xdr:row>
                    <xdr:rowOff>171450</xdr:rowOff>
                  </from>
                  <to>
                    <xdr:col>6</xdr:col>
                    <xdr:colOff>114300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0" r:id="rId99" name="Check Box 172">
              <controlPr defaultSize="0" autoFill="0" autoLine="0" autoPict="0">
                <anchor moveWithCells="1">
                  <from>
                    <xdr:col>4</xdr:col>
                    <xdr:colOff>152400</xdr:colOff>
                    <xdr:row>168</xdr:row>
                    <xdr:rowOff>161925</xdr:rowOff>
                  </from>
                  <to>
                    <xdr:col>6</xdr:col>
                    <xdr:colOff>114300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1" r:id="rId100" name="Check Box 173">
              <controlPr defaultSize="0" autoFill="0" autoLine="0" autoPict="0">
                <anchor moveWithCells="1">
                  <from>
                    <xdr:col>4</xdr:col>
                    <xdr:colOff>152400</xdr:colOff>
                    <xdr:row>169</xdr:row>
                    <xdr:rowOff>161925</xdr:rowOff>
                  </from>
                  <to>
                    <xdr:col>6</xdr:col>
                    <xdr:colOff>114300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2" r:id="rId101" name="Check Box 174">
              <controlPr defaultSize="0" autoFill="0" autoLine="0" autoPict="0">
                <anchor moveWithCells="1">
                  <from>
                    <xdr:col>6</xdr:col>
                    <xdr:colOff>228600</xdr:colOff>
                    <xdr:row>161</xdr:row>
                    <xdr:rowOff>0</xdr:rowOff>
                  </from>
                  <to>
                    <xdr:col>9</xdr:col>
                    <xdr:colOff>0</xdr:colOff>
                    <xdr:row>162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3" r:id="rId102" name="Check Box 175">
              <controlPr defaultSize="0" autoFill="0" autoLine="0" autoPict="0">
                <anchor moveWithCells="1">
                  <from>
                    <xdr:col>6</xdr:col>
                    <xdr:colOff>228600</xdr:colOff>
                    <xdr:row>161</xdr:row>
                    <xdr:rowOff>180975</xdr:rowOff>
                  </from>
                  <to>
                    <xdr:col>9</xdr:col>
                    <xdr:colOff>0</xdr:colOff>
                    <xdr:row>163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4" r:id="rId103" name="Check Box 176">
              <controlPr defaultSize="0" autoFill="0" autoLine="0" autoPict="0">
                <anchor moveWithCells="1">
                  <from>
                    <xdr:col>6</xdr:col>
                    <xdr:colOff>228600</xdr:colOff>
                    <xdr:row>162</xdr:row>
                    <xdr:rowOff>180975</xdr:rowOff>
                  </from>
                  <to>
                    <xdr:col>8</xdr:col>
                    <xdr:colOff>200025</xdr:colOff>
                    <xdr:row>164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5" r:id="rId104" name="Check Box 177">
              <controlPr defaultSize="0" autoFill="0" autoLine="0" autoPict="0">
                <anchor moveWithCells="1">
                  <from>
                    <xdr:col>6</xdr:col>
                    <xdr:colOff>228600</xdr:colOff>
                    <xdr:row>163</xdr:row>
                    <xdr:rowOff>171450</xdr:rowOff>
                  </from>
                  <to>
                    <xdr:col>8</xdr:col>
                    <xdr:colOff>200025</xdr:colOff>
                    <xdr:row>165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6" r:id="rId105" name="Check Box 178">
              <controlPr defaultSize="0" autoFill="0" autoLine="0" autoPict="0">
                <anchor moveWithCells="1">
                  <from>
                    <xdr:col>6</xdr:col>
                    <xdr:colOff>228600</xdr:colOff>
                    <xdr:row>164</xdr:row>
                    <xdr:rowOff>171450</xdr:rowOff>
                  </from>
                  <to>
                    <xdr:col>8</xdr:col>
                    <xdr:colOff>200025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7" r:id="rId106" name="Check Box 179">
              <controlPr defaultSize="0" autoFill="0" autoLine="0" autoPict="0">
                <anchor moveWithCells="1">
                  <from>
                    <xdr:col>6</xdr:col>
                    <xdr:colOff>228600</xdr:colOff>
                    <xdr:row>165</xdr:row>
                    <xdr:rowOff>161925</xdr:rowOff>
                  </from>
                  <to>
                    <xdr:col>8</xdr:col>
                    <xdr:colOff>200025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8" r:id="rId107" name="Check Box 180">
              <controlPr defaultSize="0" autoFill="0" autoLine="0" autoPict="0">
                <anchor moveWithCells="1">
                  <from>
                    <xdr:col>6</xdr:col>
                    <xdr:colOff>228600</xdr:colOff>
                    <xdr:row>166</xdr:row>
                    <xdr:rowOff>161925</xdr:rowOff>
                  </from>
                  <to>
                    <xdr:col>8</xdr:col>
                    <xdr:colOff>200025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9" r:id="rId108" name="Group Box 181">
              <controlPr defaultSize="0" autoFill="0" autoPict="0">
                <anchor moveWithCells="1">
                  <from>
                    <xdr:col>2</xdr:col>
                    <xdr:colOff>0</xdr:colOff>
                    <xdr:row>199</xdr:row>
                    <xdr:rowOff>0</xdr:rowOff>
                  </from>
                  <to>
                    <xdr:col>9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50" r:id="rId109" name="Drop Down 182">
              <controlPr defaultSize="0" autoLine="0" autoPict="0">
                <anchor moveWithCells="1">
                  <from>
                    <xdr:col>3</xdr:col>
                    <xdr:colOff>0</xdr:colOff>
                    <xdr:row>201</xdr:row>
                    <xdr:rowOff>180975</xdr:rowOff>
                  </from>
                  <to>
                    <xdr:col>8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53" r:id="rId110" name="Label 185">
              <controlPr defaultSize="0" autoFill="0" autoLine="0" autoPict="0">
                <anchor moveWithCells="1">
                  <from>
                    <xdr:col>2</xdr:col>
                    <xdr:colOff>0</xdr:colOff>
                    <xdr:row>195</xdr:row>
                    <xdr:rowOff>0</xdr:rowOff>
                  </from>
                  <to>
                    <xdr:col>3</xdr:col>
                    <xdr:colOff>400050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54" r:id="rId111" name="Group Box 186">
              <controlPr defaultSize="0" autoFill="0" autoPict="0">
                <anchor moveWithCells="1">
                  <from>
                    <xdr:col>2</xdr:col>
                    <xdr:colOff>0</xdr:colOff>
                    <xdr:row>207</xdr:row>
                    <xdr:rowOff>0</xdr:rowOff>
                  </from>
                  <to>
                    <xdr:col>5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" r:id="rId112" name="Label 206">
              <controlPr defaultSize="0" autoFill="0" autoLine="0" autoPict="0">
                <anchor moveWithCells="1">
                  <from>
                    <xdr:col>2</xdr:col>
                    <xdr:colOff>0</xdr:colOff>
                    <xdr:row>200</xdr:row>
                    <xdr:rowOff>0</xdr:rowOff>
                  </from>
                  <to>
                    <xdr:col>3</xdr:col>
                    <xdr:colOff>400050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" r:id="rId113" name="Label 207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202</xdr:row>
                    <xdr:rowOff>9525</xdr:rowOff>
                  </from>
                  <to>
                    <xdr:col>3</xdr:col>
                    <xdr:colOff>0</xdr:colOff>
                    <xdr:row>203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6" r:id="rId114" name="Label 208">
              <controlPr defaultSize="0" autoFill="0" autoLine="0" autoPict="0">
                <anchor moveWithCells="1">
                  <from>
                    <xdr:col>2</xdr:col>
                    <xdr:colOff>0</xdr:colOff>
                    <xdr:row>204</xdr:row>
                    <xdr:rowOff>0</xdr:rowOff>
                  </from>
                  <to>
                    <xdr:col>3</xdr:col>
                    <xdr:colOff>400050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115" name="Group Box 10">
              <controlPr defaultSize="0" autoFill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67" r:id="rId116" name="Group Box 199">
              <controlPr defaultSize="0" autoFill="0" autoPict="0">
                <anchor mov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4" r:id="rId117" name="Drop Down 216">
              <controlPr defaultSize="0" autoLine="0" autoPict="0">
                <anchor moveWithCells="1">
                  <from>
                    <xdr:col>2</xdr:col>
                    <xdr:colOff>323850</xdr:colOff>
                    <xdr:row>184</xdr:row>
                    <xdr:rowOff>0</xdr:rowOff>
                  </from>
                  <to>
                    <xdr:col>5</xdr:col>
                    <xdr:colOff>266700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1" r:id="rId118" name="Button 123">
              <controlPr defaultSize="0" print="0" autoFill="0" autoPict="0" macro="[0]!ResetForm">
                <anchor moveWithCells="1" sizeWithCells="1">
                  <from>
                    <xdr:col>8</xdr:col>
                    <xdr:colOff>333375</xdr:colOff>
                    <xdr:row>9</xdr:row>
                    <xdr:rowOff>85725</xdr:rowOff>
                  </from>
                  <to>
                    <xdr:col>11</xdr:col>
                    <xdr:colOff>285750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5" r:id="rId119" name="Group Box 217">
              <controlPr defaultSize="0" autoFill="0" autoPict="0">
                <anchor moveWithCells="1">
                  <from>
                    <xdr:col>2</xdr:col>
                    <xdr:colOff>0</xdr:colOff>
                    <xdr:row>51</xdr:row>
                    <xdr:rowOff>0</xdr:rowOff>
                  </from>
                  <to>
                    <xdr:col>6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0" r:id="rId120" name="Group Box 222">
              <controlPr defaultSize="0" autoFill="0" autoPict="0">
                <anchor moveWithCells="1">
                  <from>
                    <xdr:col>2</xdr:col>
                    <xdr:colOff>0</xdr:colOff>
                    <xdr:row>183</xdr:row>
                    <xdr:rowOff>0</xdr:rowOff>
                  </from>
                  <to>
                    <xdr:col>6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52" r:id="rId121" name="Group Box 184">
              <controlPr defaultSize="0" autoFill="0" autoPict="0">
                <anchor moveWithCells="1">
                  <from>
                    <xdr:col>2</xdr:col>
                    <xdr:colOff>0</xdr:colOff>
                    <xdr:row>187</xdr:row>
                    <xdr:rowOff>0</xdr:rowOff>
                  </from>
                  <to>
                    <xdr:col>7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0" r:id="rId122" name="Group Box 202">
              <controlPr defaultSize="0" autoFill="0" autoPict="0">
                <anchor moveWithCells="1">
                  <from>
                    <xdr:col>1</xdr:col>
                    <xdr:colOff>0</xdr:colOff>
                    <xdr:row>159</xdr:row>
                    <xdr:rowOff>0</xdr:rowOff>
                  </from>
                  <to>
                    <xdr:col>10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1" r:id="rId123" name="Drop Down 223">
              <controlPr defaultSize="0" autoLine="0" autoPict="0">
                <anchor moveWithCells="1">
                  <from>
                    <xdr:col>8</xdr:col>
                    <xdr:colOff>323850</xdr:colOff>
                    <xdr:row>3</xdr:row>
                    <xdr:rowOff>66675</xdr:rowOff>
                  </from>
                  <to>
                    <xdr:col>11</xdr:col>
                    <xdr:colOff>323850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2" r:id="rId124" name="Button 224">
              <controlPr defaultSize="0" print="0" autoFill="0" autoPict="0" macro="[0]!GetRecord">
                <anchor moveWithCells="1" sizeWithCells="1">
                  <from>
                    <xdr:col>8</xdr:col>
                    <xdr:colOff>314325</xdr:colOff>
                    <xdr:row>4</xdr:row>
                    <xdr:rowOff>142875</xdr:rowOff>
                  </from>
                  <to>
                    <xdr:col>11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62" r:id="rId125" name="Check Box 294">
              <controlPr defaultSize="0" autoFill="0" autoLine="0" autoPict="0">
                <anchor moveWithCells="1">
                  <from>
                    <xdr:col>2</xdr:col>
                    <xdr:colOff>0</xdr:colOff>
                    <xdr:row>151</xdr:row>
                    <xdr:rowOff>0</xdr:rowOff>
                  </from>
                  <to>
                    <xdr:col>3</xdr:col>
                    <xdr:colOff>400050</xdr:colOff>
                    <xdr:row>152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63" r:id="rId126" name="Check Box 295">
              <controlPr defaultSize="0" autoFill="0" autoLine="0" autoPict="0">
                <anchor moveWithCells="1">
                  <from>
                    <xdr:col>2</xdr:col>
                    <xdr:colOff>0</xdr:colOff>
                    <xdr:row>152</xdr:row>
                    <xdr:rowOff>0</xdr:rowOff>
                  </from>
                  <to>
                    <xdr:col>3</xdr:col>
                    <xdr:colOff>200025</xdr:colOff>
                    <xdr:row>153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64" r:id="rId127" name="Check Box 296">
              <controlPr defaultSize="0" autoFill="0" autoLine="0" autoPict="0">
                <anchor moveWithCells="1">
                  <from>
                    <xdr:col>2</xdr:col>
                    <xdr:colOff>0</xdr:colOff>
                    <xdr:row>153</xdr:row>
                    <xdr:rowOff>0</xdr:rowOff>
                  </from>
                  <to>
                    <xdr:col>3</xdr:col>
                    <xdr:colOff>400050</xdr:colOff>
                    <xdr:row>154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65" r:id="rId128" name="Check Box 297">
              <controlPr defaultSize="0" autoFill="0" autoLine="0" autoPict="0">
                <anchor moveWithCells="1">
                  <from>
                    <xdr:col>2</xdr:col>
                    <xdr:colOff>0</xdr:colOff>
                    <xdr:row>154</xdr:row>
                    <xdr:rowOff>0</xdr:rowOff>
                  </from>
                  <to>
                    <xdr:col>3</xdr:col>
                    <xdr:colOff>400050</xdr:colOff>
                    <xdr:row>155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67" r:id="rId129" name="Check Box 299">
              <controlPr defaultSize="0" autoFill="0" autoLine="0" autoPict="0">
                <anchor moveWithCells="1">
                  <from>
                    <xdr:col>2</xdr:col>
                    <xdr:colOff>0</xdr:colOff>
                    <xdr:row>105</xdr:row>
                    <xdr:rowOff>0</xdr:rowOff>
                  </from>
                  <to>
                    <xdr:col>3</xdr:col>
                    <xdr:colOff>581025</xdr:colOff>
                    <xdr:row>106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68" r:id="rId130" name="Check Box 300">
              <controlPr defaultSize="0" autoFill="0" autoLine="0" autoPict="0">
                <anchor moveWithCells="1">
                  <from>
                    <xdr:col>2</xdr:col>
                    <xdr:colOff>0</xdr:colOff>
                    <xdr:row>106</xdr:row>
                    <xdr:rowOff>0</xdr:rowOff>
                  </from>
                  <to>
                    <xdr:col>3</xdr:col>
                    <xdr:colOff>581025</xdr:colOff>
                    <xdr:row>107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69" r:id="rId131" name="Check Box 301">
              <controlPr defaultSize="0" autoFill="0" autoLine="0" autoPict="0">
                <anchor moveWithCells="1">
                  <from>
                    <xdr:col>2</xdr:col>
                    <xdr:colOff>0</xdr:colOff>
                    <xdr:row>106</xdr:row>
                    <xdr:rowOff>180975</xdr:rowOff>
                  </from>
                  <to>
                    <xdr:col>3</xdr:col>
                    <xdr:colOff>581025</xdr:colOff>
                    <xdr:row>108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0" r:id="rId132" name="Check Box 302">
              <controlPr defaultSize="0" autoFill="0" autoLine="0" autoPict="0">
                <anchor moveWithCells="1">
                  <from>
                    <xdr:col>2</xdr:col>
                    <xdr:colOff>0</xdr:colOff>
                    <xdr:row>107</xdr:row>
                    <xdr:rowOff>180975</xdr:rowOff>
                  </from>
                  <to>
                    <xdr:col>3</xdr:col>
                    <xdr:colOff>581025</xdr:colOff>
                    <xdr:row>109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1" r:id="rId133" name="Check Box 303">
              <controlPr defaultSize="0" autoFill="0" autoLine="0" autoPict="0">
                <anchor moveWithCells="1">
                  <from>
                    <xdr:col>2</xdr:col>
                    <xdr:colOff>0</xdr:colOff>
                    <xdr:row>108</xdr:row>
                    <xdr:rowOff>180975</xdr:rowOff>
                  </from>
                  <to>
                    <xdr:col>3</xdr:col>
                    <xdr:colOff>581025</xdr:colOff>
                    <xdr:row>110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2" r:id="rId134" name="Check Box 304">
              <controlPr defaultSize="0" autoFill="0" autoLine="0" autoPict="0">
                <anchor moveWithCells="1">
                  <from>
                    <xdr:col>2</xdr:col>
                    <xdr:colOff>0</xdr:colOff>
                    <xdr:row>109</xdr:row>
                    <xdr:rowOff>171450</xdr:rowOff>
                  </from>
                  <to>
                    <xdr:col>3</xdr:col>
                    <xdr:colOff>581025</xdr:colOff>
                    <xdr:row>111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3" r:id="rId135" name="Check Box 305">
              <controlPr defaultSize="0" autoFill="0" autoLine="0" autoPict="0">
                <anchor moveWithCells="1">
                  <from>
                    <xdr:col>2</xdr:col>
                    <xdr:colOff>0</xdr:colOff>
                    <xdr:row>110</xdr:row>
                    <xdr:rowOff>171450</xdr:rowOff>
                  </from>
                  <to>
                    <xdr:col>3</xdr:col>
                    <xdr:colOff>581025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4" r:id="rId136" name="Check Box 306">
              <controlPr defaultSize="0" autoFill="0" autoLine="0" autoPict="0">
                <anchor moveWithCells="1">
                  <from>
                    <xdr:col>2</xdr:col>
                    <xdr:colOff>0</xdr:colOff>
                    <xdr:row>111</xdr:row>
                    <xdr:rowOff>171450</xdr:rowOff>
                  </from>
                  <to>
                    <xdr:col>3</xdr:col>
                    <xdr:colOff>581025</xdr:colOff>
                    <xdr:row>113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" r:id="rId137" name="Check Box 307">
              <controlPr defaultSize="0" autoFill="0" autoLine="0" autoPict="0">
                <anchor moveWithCells="1">
                  <from>
                    <xdr:col>2</xdr:col>
                    <xdr:colOff>0</xdr:colOff>
                    <xdr:row>112</xdr:row>
                    <xdr:rowOff>161925</xdr:rowOff>
                  </from>
                  <to>
                    <xdr:col>3</xdr:col>
                    <xdr:colOff>581025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" r:id="rId138" name="Check Box 308">
              <controlPr defaultSize="0" autoFill="0" autoLine="0" autoPict="0">
                <anchor moveWithCells="1">
                  <from>
                    <xdr:col>2</xdr:col>
                    <xdr:colOff>0</xdr:colOff>
                    <xdr:row>113</xdr:row>
                    <xdr:rowOff>161925</xdr:rowOff>
                  </from>
                  <to>
                    <xdr:col>3</xdr:col>
                    <xdr:colOff>581025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" r:id="rId139" name="Check Box 309">
              <controlPr defaultSize="0" autoFill="0" autoLine="0" autoPict="0">
                <anchor moveWithCells="1">
                  <from>
                    <xdr:col>4</xdr:col>
                    <xdr:colOff>152400</xdr:colOff>
                    <xdr:row>105</xdr:row>
                    <xdr:rowOff>0</xdr:rowOff>
                  </from>
                  <to>
                    <xdr:col>6</xdr:col>
                    <xdr:colOff>114300</xdr:colOff>
                    <xdr:row>106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" r:id="rId140" name="Check Box 310">
              <controlPr defaultSize="0" autoFill="0" autoLine="0" autoPict="0">
                <anchor moveWithCells="1">
                  <from>
                    <xdr:col>4</xdr:col>
                    <xdr:colOff>152400</xdr:colOff>
                    <xdr:row>106</xdr:row>
                    <xdr:rowOff>0</xdr:rowOff>
                  </from>
                  <to>
                    <xdr:col>6</xdr:col>
                    <xdr:colOff>114300</xdr:colOff>
                    <xdr:row>107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9" r:id="rId141" name="Check Box 311">
              <controlPr defaultSize="0" autoFill="0" autoLine="0" autoPict="0">
                <anchor moveWithCells="1">
                  <from>
                    <xdr:col>4</xdr:col>
                    <xdr:colOff>152400</xdr:colOff>
                    <xdr:row>106</xdr:row>
                    <xdr:rowOff>180975</xdr:rowOff>
                  </from>
                  <to>
                    <xdr:col>6</xdr:col>
                    <xdr:colOff>114300</xdr:colOff>
                    <xdr:row>108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0" r:id="rId142" name="Check Box 312">
              <controlPr defaultSize="0" autoFill="0" autoLine="0" autoPict="0">
                <anchor moveWithCells="1">
                  <from>
                    <xdr:col>4</xdr:col>
                    <xdr:colOff>152400</xdr:colOff>
                    <xdr:row>107</xdr:row>
                    <xdr:rowOff>180975</xdr:rowOff>
                  </from>
                  <to>
                    <xdr:col>6</xdr:col>
                    <xdr:colOff>114300</xdr:colOff>
                    <xdr:row>109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1" r:id="rId143" name="Check Box 313">
              <controlPr defaultSize="0" autoFill="0" autoLine="0" autoPict="0">
                <anchor moveWithCells="1">
                  <from>
                    <xdr:col>4</xdr:col>
                    <xdr:colOff>152400</xdr:colOff>
                    <xdr:row>108</xdr:row>
                    <xdr:rowOff>180975</xdr:rowOff>
                  </from>
                  <to>
                    <xdr:col>6</xdr:col>
                    <xdr:colOff>114300</xdr:colOff>
                    <xdr:row>110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2" r:id="rId144" name="Check Box 314">
              <controlPr defaultSize="0" autoFill="0" autoLine="0" autoPict="0">
                <anchor moveWithCells="1">
                  <from>
                    <xdr:col>4</xdr:col>
                    <xdr:colOff>152400</xdr:colOff>
                    <xdr:row>109</xdr:row>
                    <xdr:rowOff>171450</xdr:rowOff>
                  </from>
                  <to>
                    <xdr:col>6</xdr:col>
                    <xdr:colOff>114300</xdr:colOff>
                    <xdr:row>111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3" r:id="rId145" name="Check Box 315">
              <controlPr defaultSize="0" autoFill="0" autoLine="0" autoPict="0">
                <anchor moveWithCells="1">
                  <from>
                    <xdr:col>4</xdr:col>
                    <xdr:colOff>152400</xdr:colOff>
                    <xdr:row>110</xdr:row>
                    <xdr:rowOff>171450</xdr:rowOff>
                  </from>
                  <to>
                    <xdr:col>6</xdr:col>
                    <xdr:colOff>114300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4" r:id="rId146" name="Check Box 316">
              <controlPr defaultSize="0" autoFill="0" autoLine="0" autoPict="0">
                <anchor moveWithCells="1">
                  <from>
                    <xdr:col>4</xdr:col>
                    <xdr:colOff>152400</xdr:colOff>
                    <xdr:row>111</xdr:row>
                    <xdr:rowOff>171450</xdr:rowOff>
                  </from>
                  <to>
                    <xdr:col>6</xdr:col>
                    <xdr:colOff>114300</xdr:colOff>
                    <xdr:row>113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5" r:id="rId147" name="Check Box 317">
              <controlPr defaultSize="0" autoFill="0" autoLine="0" autoPict="0">
                <anchor moveWithCells="1">
                  <from>
                    <xdr:col>4</xdr:col>
                    <xdr:colOff>152400</xdr:colOff>
                    <xdr:row>112</xdr:row>
                    <xdr:rowOff>161925</xdr:rowOff>
                  </from>
                  <to>
                    <xdr:col>6</xdr:col>
                    <xdr:colOff>114300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6" r:id="rId148" name="Check Box 318">
              <controlPr defaultSize="0" autoFill="0" autoLine="0" autoPict="0">
                <anchor moveWithCells="1">
                  <from>
                    <xdr:col>4</xdr:col>
                    <xdr:colOff>152400</xdr:colOff>
                    <xdr:row>113</xdr:row>
                    <xdr:rowOff>161925</xdr:rowOff>
                  </from>
                  <to>
                    <xdr:col>6</xdr:col>
                    <xdr:colOff>114300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7" r:id="rId149" name="Check Box 319">
              <controlPr defaultSize="0" autoFill="0" autoLine="0" autoPict="0">
                <anchor moveWithCells="1">
                  <from>
                    <xdr:col>6</xdr:col>
                    <xdr:colOff>228600</xdr:colOff>
                    <xdr:row>105</xdr:row>
                    <xdr:rowOff>0</xdr:rowOff>
                  </from>
                  <to>
                    <xdr:col>9</xdr:col>
                    <xdr:colOff>0</xdr:colOff>
                    <xdr:row>106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8" r:id="rId150" name="Check Box 320">
              <controlPr defaultSize="0" autoFill="0" autoLine="0" autoPict="0">
                <anchor moveWithCells="1">
                  <from>
                    <xdr:col>6</xdr:col>
                    <xdr:colOff>228600</xdr:colOff>
                    <xdr:row>105</xdr:row>
                    <xdr:rowOff>180975</xdr:rowOff>
                  </from>
                  <to>
                    <xdr:col>9</xdr:col>
                    <xdr:colOff>0</xdr:colOff>
                    <xdr:row>107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9" r:id="rId151" name="Check Box 321">
              <controlPr defaultSize="0" autoFill="0" autoLine="0" autoPict="0">
                <anchor moveWithCells="1">
                  <from>
                    <xdr:col>6</xdr:col>
                    <xdr:colOff>228600</xdr:colOff>
                    <xdr:row>106</xdr:row>
                    <xdr:rowOff>180975</xdr:rowOff>
                  </from>
                  <to>
                    <xdr:col>8</xdr:col>
                    <xdr:colOff>200025</xdr:colOff>
                    <xdr:row>108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0" r:id="rId152" name="Check Box 322">
              <controlPr defaultSize="0" autoFill="0" autoLine="0" autoPict="0">
                <anchor moveWithCells="1">
                  <from>
                    <xdr:col>6</xdr:col>
                    <xdr:colOff>228600</xdr:colOff>
                    <xdr:row>107</xdr:row>
                    <xdr:rowOff>171450</xdr:rowOff>
                  </from>
                  <to>
                    <xdr:col>8</xdr:col>
                    <xdr:colOff>200025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1" r:id="rId153" name="Check Box 323">
              <controlPr defaultSize="0" autoFill="0" autoLine="0" autoPict="0">
                <anchor moveWithCells="1">
                  <from>
                    <xdr:col>6</xdr:col>
                    <xdr:colOff>228600</xdr:colOff>
                    <xdr:row>108</xdr:row>
                    <xdr:rowOff>171450</xdr:rowOff>
                  </from>
                  <to>
                    <xdr:col>8</xdr:col>
                    <xdr:colOff>200025</xdr:colOff>
                    <xdr:row>110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2" r:id="rId154" name="Check Box 324">
              <controlPr defaultSize="0" autoFill="0" autoLine="0" autoPict="0">
                <anchor moveWithCells="1">
                  <from>
                    <xdr:col>6</xdr:col>
                    <xdr:colOff>228600</xdr:colOff>
                    <xdr:row>109</xdr:row>
                    <xdr:rowOff>161925</xdr:rowOff>
                  </from>
                  <to>
                    <xdr:col>8</xdr:col>
                    <xdr:colOff>200025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3" r:id="rId155" name="Check Box 325">
              <controlPr defaultSize="0" autoFill="0" autoLine="0" autoPict="0">
                <anchor moveWithCells="1">
                  <from>
                    <xdr:col>6</xdr:col>
                    <xdr:colOff>228600</xdr:colOff>
                    <xdr:row>110</xdr:row>
                    <xdr:rowOff>161925</xdr:rowOff>
                  </from>
                  <to>
                    <xdr:col>8</xdr:col>
                    <xdr:colOff>200025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8" r:id="rId156" name="Group Box 330">
              <controlPr defaultSize="0" autoFill="0" autoPict="0">
                <anchor moveWithCells="1">
                  <from>
                    <xdr:col>2</xdr:col>
                    <xdr:colOff>0</xdr:colOff>
                    <xdr:row>150</xdr:row>
                    <xdr:rowOff>0</xdr:rowOff>
                  </from>
                  <to>
                    <xdr:col>5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01" r:id="rId157" name="Label 333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89</xdr:row>
                    <xdr:rowOff>180975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02" r:id="rId158" name="Label 334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95</xdr:row>
                    <xdr:rowOff>180975</xdr:rowOff>
                  </from>
                  <to>
                    <xdr:col>3</xdr:col>
                    <xdr:colOff>0</xdr:colOff>
                    <xdr:row>96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03" r:id="rId159" name="Label 335">
              <controlPr defaultSize="0" autoFill="0" autoLine="0" autoPict="0">
                <anchor moveWithCells="1" sizeWithCells="1">
                  <from>
                    <xdr:col>5</xdr:col>
                    <xdr:colOff>57150</xdr:colOff>
                    <xdr:row>88</xdr:row>
                    <xdr:rowOff>19050</xdr:rowOff>
                  </from>
                  <to>
                    <xdr:col>5</xdr:col>
                    <xdr:colOff>352425</xdr:colOff>
                    <xdr:row>89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04" r:id="rId160" name="Label 336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88</xdr:row>
                    <xdr:rowOff>0</xdr:rowOff>
                  </from>
                  <to>
                    <xdr:col>3</xdr:col>
                    <xdr:colOff>342900</xdr:colOff>
                    <xdr:row>89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06" r:id="rId161" name="Label 338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86</xdr:row>
                    <xdr:rowOff>0</xdr:rowOff>
                  </from>
                  <to>
                    <xdr:col>3</xdr:col>
                    <xdr:colOff>342900</xdr:colOff>
                    <xdr:row>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07" r:id="rId162" name="Label 339">
              <controlPr defaultSize="0" autoFill="0" autoLine="0" autoPict="0">
                <anchor moveWithCells="1" sizeWithCells="1">
                  <from>
                    <xdr:col>5</xdr:col>
                    <xdr:colOff>57150</xdr:colOff>
                    <xdr:row>86</xdr:row>
                    <xdr:rowOff>19050</xdr:rowOff>
                  </from>
                  <to>
                    <xdr:col>5</xdr:col>
                    <xdr:colOff>352425</xdr:colOff>
                    <xdr:row>87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08" r:id="rId163" name="Label 340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88</xdr:row>
                    <xdr:rowOff>19050</xdr:rowOff>
                  </from>
                  <to>
                    <xdr:col>7</xdr:col>
                    <xdr:colOff>333375</xdr:colOff>
                    <xdr:row>89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164" name="Group Box 38">
              <controlPr defaultSize="0" autoFill="0" autoPict="0">
                <anchor moveWithCells="1">
                  <from>
                    <xdr:col>2</xdr:col>
                    <xdr:colOff>0</xdr:colOff>
                    <xdr:row>74</xdr:row>
                    <xdr:rowOff>0</xdr:rowOff>
                  </from>
                  <to>
                    <xdr:col>5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8" r:id="rId165" name="Check Box 40">
              <controlPr defaultSize="0" autoFill="0" autoLine="0" autoPict="0">
                <anchor moveWithCells="1">
                  <from>
                    <xdr:col>2</xdr:col>
                    <xdr:colOff>0</xdr:colOff>
                    <xdr:row>75</xdr:row>
                    <xdr:rowOff>0</xdr:rowOff>
                  </from>
                  <to>
                    <xdr:col>3</xdr:col>
                    <xdr:colOff>400050</xdr:colOff>
                    <xdr:row>76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9" r:id="rId166" name="Check Box 41">
              <controlPr defaultSize="0" autoFill="0" autoLine="0" autoPict="0">
                <anchor moveWithCells="1">
                  <from>
                    <xdr:col>2</xdr:col>
                    <xdr:colOff>0</xdr:colOff>
                    <xdr:row>76</xdr:row>
                    <xdr:rowOff>0</xdr:rowOff>
                  </from>
                  <to>
                    <xdr:col>3</xdr:col>
                    <xdr:colOff>200025</xdr:colOff>
                    <xdr:row>77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05" r:id="rId167" name="Group Box 337">
              <controlPr defaultSize="0" autoFill="0" autoPict="0">
                <anchor moveWithCells="1">
                  <from>
                    <xdr:col>2</xdr:col>
                    <xdr:colOff>0</xdr:colOff>
                    <xdr:row>85</xdr:row>
                    <xdr:rowOff>0</xdr:rowOff>
                  </from>
                  <to>
                    <xdr:col>8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66" r:id="rId168" name="Group Box 298">
              <controlPr defaultSize="0" autoFill="0" autoPict="0">
                <anchor moveWithCells="1">
                  <from>
                    <xdr:col>2</xdr:col>
                    <xdr:colOff>0</xdr:colOff>
                    <xdr:row>104</xdr:row>
                    <xdr:rowOff>0</xdr:rowOff>
                  </from>
                  <to>
                    <xdr:col>9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49" r:id="rId169" name="Group Box 281">
              <controlPr defaultSize="0" autoFill="0" autoPict="0">
                <anchor moveWithCells="1">
                  <from>
                    <xdr:col>2</xdr:col>
                    <xdr:colOff>0</xdr:colOff>
                    <xdr:row>117</xdr:row>
                    <xdr:rowOff>0</xdr:rowOff>
                  </from>
                  <to>
                    <xdr:col>8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47" r:id="rId170" name="Group Box 279">
              <controlPr defaultSize="0" autoFill="0" autoPict="0">
                <anchor moveWithCells="1">
                  <from>
                    <xdr:col>2</xdr:col>
                    <xdr:colOff>0</xdr:colOff>
                    <xdr:row>123</xdr:row>
                    <xdr:rowOff>0</xdr:rowOff>
                  </from>
                  <to>
                    <xdr:col>6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48" r:id="rId171" name="Drop Down 280">
              <controlPr defaultSize="0" autoLine="0" autoPict="0">
                <anchor moveWithCells="1">
                  <from>
                    <xdr:col>2</xdr:col>
                    <xdr:colOff>219075</xdr:colOff>
                    <xdr:row>124</xdr:row>
                    <xdr:rowOff>0</xdr:rowOff>
                  </from>
                  <to>
                    <xdr:col>5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6" r:id="rId172" name="Drop Down 328">
              <controlPr defaultSize="0" autoLine="0" autoPict="0">
                <anchor moveWithCells="1">
                  <from>
                    <xdr:col>2</xdr:col>
                    <xdr:colOff>209550</xdr:colOff>
                    <xdr:row>128</xdr:row>
                    <xdr:rowOff>0</xdr:rowOff>
                  </from>
                  <to>
                    <xdr:col>5</xdr:col>
                    <xdr:colOff>0</xdr:colOff>
                    <xdr:row>129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9" r:id="rId173" name="Group Box 331">
              <controlPr defaultSize="0" autoFill="0" autoPict="0">
                <anchor moveWithCells="1">
                  <from>
                    <xdr:col>2</xdr:col>
                    <xdr:colOff>0</xdr:colOff>
                    <xdr:row>127</xdr:row>
                    <xdr:rowOff>0</xdr:rowOff>
                  </from>
                  <to>
                    <xdr:col>6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50" r:id="rId174" name="Label 282">
              <controlPr defaultSize="0" autoFill="0" autoLine="0" autoPict="0">
                <anchor moveWithCells="1">
                  <from>
                    <xdr:col>2</xdr:col>
                    <xdr:colOff>0</xdr:colOff>
                    <xdr:row>132</xdr:row>
                    <xdr:rowOff>0</xdr:rowOff>
                  </from>
                  <to>
                    <xdr:col>3</xdr:col>
                    <xdr:colOff>400050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51" r:id="rId175" name="Label 283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134</xdr:row>
                    <xdr:rowOff>0</xdr:rowOff>
                  </from>
                  <to>
                    <xdr:col>3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52" r:id="rId176" name="Label 284">
              <controlPr defaultSize="0" autoFill="0" autoLine="0" autoPict="0">
                <anchor moveWithCells="1">
                  <from>
                    <xdr:col>2</xdr:col>
                    <xdr:colOff>0</xdr:colOff>
                    <xdr:row>136</xdr:row>
                    <xdr:rowOff>0</xdr:rowOff>
                  </from>
                  <to>
                    <xdr:col>3</xdr:col>
                    <xdr:colOff>400050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53" r:id="rId177" name="Drop Down 285">
              <controlPr defaultSize="0" autoLine="0" autoPict="0">
                <anchor moveWithCells="1">
                  <from>
                    <xdr:col>4</xdr:col>
                    <xdr:colOff>0</xdr:colOff>
                    <xdr:row>132</xdr:row>
                    <xdr:rowOff>0</xdr:rowOff>
                  </from>
                  <to>
                    <xdr:col>6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54" r:id="rId178" name="Drop Down 286">
              <controlPr defaultSize="0" autoLine="0" autoPict="0">
                <anchor moveWithCells="1">
                  <from>
                    <xdr:col>4</xdr:col>
                    <xdr:colOff>0</xdr:colOff>
                    <xdr:row>133</xdr:row>
                    <xdr:rowOff>180975</xdr:rowOff>
                  </from>
                  <to>
                    <xdr:col>6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55" r:id="rId179" name="Drop Down 287">
              <controlPr defaultSize="0" autoLine="0" autoPict="0">
                <anchor moveWithCells="1">
                  <from>
                    <xdr:col>4</xdr:col>
                    <xdr:colOff>0</xdr:colOff>
                    <xdr:row>135</xdr:row>
                    <xdr:rowOff>180975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7" r:id="rId180" name="Label 329">
              <controlPr defaultSize="0" autoFill="0" autoLine="0" autoPict="0">
                <anchor moveWithCells="1">
                  <from>
                    <xdr:col>2</xdr:col>
                    <xdr:colOff>0</xdr:colOff>
                    <xdr:row>139</xdr:row>
                    <xdr:rowOff>0</xdr:rowOff>
                  </from>
                  <to>
                    <xdr:col>3</xdr:col>
                    <xdr:colOff>400050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00" r:id="rId181" name="Group Box 332">
              <controlPr defaultSize="0" autoFill="0" autoPict="0">
                <anchor moveWithCells="1">
                  <from>
                    <xdr:col>2</xdr:col>
                    <xdr:colOff>0</xdr:colOff>
                    <xdr:row>131</xdr:row>
                    <xdr:rowOff>0</xdr:rowOff>
                  </from>
                  <to>
                    <xdr:col>7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69" r:id="rId182" name="Group Box 201">
              <controlPr defaultSize="0" autoFill="0" autoPict="0">
                <anchor moveWithCells="1">
                  <from>
                    <xdr:col>1</xdr:col>
                    <xdr:colOff>0</xdr:colOff>
                    <xdr:row>82</xdr:row>
                    <xdr:rowOff>190500</xdr:rowOff>
                  </from>
                  <to>
                    <xdr:col>10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57" r:id="rId183" name="Label 289">
              <controlPr defaultSize="0" autoFill="0" autoLine="0" autoPict="0">
                <anchor moveWithCells="1">
                  <from>
                    <xdr:col>2</xdr:col>
                    <xdr:colOff>0</xdr:colOff>
                    <xdr:row>143</xdr:row>
                    <xdr:rowOff>0</xdr:rowOff>
                  </from>
                  <to>
                    <xdr:col>3</xdr:col>
                    <xdr:colOff>400050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58" r:id="rId184" name="Label 290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145</xdr:row>
                    <xdr:rowOff>9525</xdr:rowOff>
                  </from>
                  <to>
                    <xdr:col>3</xdr:col>
                    <xdr:colOff>0</xdr:colOff>
                    <xdr:row>146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59" r:id="rId185" name="Label 291">
              <controlPr defaultSize="0" autoFill="0" autoLine="0" autoPict="0">
                <anchor moveWithCells="1">
                  <from>
                    <xdr:col>2</xdr:col>
                    <xdr:colOff>0</xdr:colOff>
                    <xdr:row>147</xdr:row>
                    <xdr:rowOff>0</xdr:rowOff>
                  </from>
                  <to>
                    <xdr:col>3</xdr:col>
                    <xdr:colOff>400050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60" r:id="rId186" name="Drop Down 292">
              <controlPr defaultSize="0" autoLine="0" autoPict="0">
                <anchor mov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8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61" r:id="rId187" name="Drop Down 293">
              <controlPr defaultSize="0" autoLine="0" autoPict="0">
                <anchor moveWithCells="1">
                  <from>
                    <xdr:col>3</xdr:col>
                    <xdr:colOff>0</xdr:colOff>
                    <xdr:row>146</xdr:row>
                    <xdr:rowOff>180975</xdr:rowOff>
                  </from>
                  <to>
                    <xdr:col>8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4" r:id="rId188" name="Group Box 326">
              <controlPr defaultSize="0" autoFill="0" autoPict="0">
                <anchor moveWithCells="1">
                  <from>
                    <xdr:col>2</xdr:col>
                    <xdr:colOff>0</xdr:colOff>
                    <xdr:row>142</xdr:row>
                    <xdr:rowOff>0</xdr:rowOff>
                  </from>
                  <to>
                    <xdr:col>9</xdr:col>
                    <xdr:colOff>0</xdr:colOff>
                    <xdr:row>148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5" r:id="rId189" name="Drop Down 327">
              <controlPr defaultSize="0" autoLine="0" autoPict="0">
                <anchor moveWithCells="1">
                  <from>
                    <xdr:col>3</xdr:col>
                    <xdr:colOff>0</xdr:colOff>
                    <xdr:row>144</xdr:row>
                    <xdr:rowOff>180975</xdr:rowOff>
                  </from>
                  <to>
                    <xdr:col>8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09" r:id="rId190" name="Label 341">
              <controlPr defaultSize="0" autoFill="0" autoLine="0" autoPict="0">
                <anchor moveWithCells="1">
                  <from>
                    <xdr:col>2</xdr:col>
                    <xdr:colOff>0</xdr:colOff>
                    <xdr:row>156</xdr:row>
                    <xdr:rowOff>0</xdr:rowOff>
                  </from>
                  <to>
                    <xdr:col>3</xdr:col>
                    <xdr:colOff>400050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191" name="Group Box 22">
              <controlPr defaultSize="0" autoFill="0" autoPict="0">
                <anchor moveWithCells="1">
                  <from>
                    <xdr:col>2</xdr:col>
                    <xdr:colOff>0</xdr:colOff>
                    <xdr:row>55</xdr:row>
                    <xdr:rowOff>0</xdr:rowOff>
                  </from>
                  <to>
                    <xdr:col>7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68" r:id="rId192" name="Group Box 200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0</xdr:rowOff>
                  </from>
                  <to>
                    <xdr:col>10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C3E23-7470-4E2D-9425-58DB0E21EE7F}">
  <sheetPr codeName="Sheet2"/>
  <dimension ref="A1:L147"/>
  <sheetViews>
    <sheetView topLeftCell="A111" zoomScaleNormal="100" workbookViewId="0">
      <selection activeCell="A136" sqref="A136"/>
    </sheetView>
  </sheetViews>
  <sheetFormatPr defaultRowHeight="15" x14ac:dyDescent="0.25"/>
  <cols>
    <col min="1" max="1" width="59.140625" bestFit="1" customWidth="1"/>
  </cols>
  <sheetData>
    <row r="1" spans="1:12" x14ac:dyDescent="0.25">
      <c r="A1" s="2" t="s">
        <v>26</v>
      </c>
    </row>
    <row r="2" spans="1:12" x14ac:dyDescent="0.25">
      <c r="A2" s="2"/>
    </row>
    <row r="3" spans="1:12" x14ac:dyDescent="0.25">
      <c r="A3" t="s">
        <v>0</v>
      </c>
    </row>
    <row r="4" spans="1:12" x14ac:dyDescent="0.25">
      <c r="A4" t="s">
        <v>1</v>
      </c>
      <c r="L4" t="str" cm="1">
        <f t="array" ref="L4:L5">INDEX(Options!A3:A4,Report!P1)</f>
        <v>Male</v>
      </c>
    </row>
    <row r="5" spans="1:12" x14ac:dyDescent="0.25">
      <c r="L5" t="str">
        <v>Female</v>
      </c>
    </row>
    <row r="6" spans="1:12" x14ac:dyDescent="0.25">
      <c r="A6" s="2" t="s">
        <v>110</v>
      </c>
    </row>
    <row r="8" spans="1:12" x14ac:dyDescent="0.25">
      <c r="A8" s="2" t="s">
        <v>27</v>
      </c>
    </row>
    <row r="9" spans="1:12" x14ac:dyDescent="0.25">
      <c r="A9" s="2"/>
    </row>
    <row r="10" spans="1:12" x14ac:dyDescent="0.25">
      <c r="A10" t="s">
        <v>2</v>
      </c>
    </row>
    <row r="11" spans="1:12" x14ac:dyDescent="0.25">
      <c r="A11" t="s">
        <v>3</v>
      </c>
    </row>
    <row r="12" spans="1:12" x14ac:dyDescent="0.25">
      <c r="A12" t="s">
        <v>4</v>
      </c>
    </row>
    <row r="13" spans="1:12" x14ac:dyDescent="0.25">
      <c r="A13" t="s">
        <v>5</v>
      </c>
    </row>
    <row r="14" spans="1:12" x14ac:dyDescent="0.25">
      <c r="A14" t="s">
        <v>6</v>
      </c>
    </row>
    <row r="15" spans="1:12" x14ac:dyDescent="0.25">
      <c r="A15" t="s">
        <v>7</v>
      </c>
    </row>
    <row r="16" spans="1:12" x14ac:dyDescent="0.25">
      <c r="A16" t="s">
        <v>8</v>
      </c>
    </row>
    <row r="17" spans="1:1" x14ac:dyDescent="0.25">
      <c r="A17" t="s">
        <v>9</v>
      </c>
    </row>
    <row r="19" spans="1:1" x14ac:dyDescent="0.25">
      <c r="A19" s="2" t="s">
        <v>10</v>
      </c>
    </row>
    <row r="20" spans="1:1" x14ac:dyDescent="0.25">
      <c r="A20" s="2"/>
    </row>
    <row r="21" spans="1:1" x14ac:dyDescent="0.25">
      <c r="A21" t="s">
        <v>11</v>
      </c>
    </row>
    <row r="22" spans="1:1" x14ac:dyDescent="0.25">
      <c r="A22" t="s">
        <v>12</v>
      </c>
    </row>
    <row r="23" spans="1:1" x14ac:dyDescent="0.25">
      <c r="A23" t="s">
        <v>13</v>
      </c>
    </row>
    <row r="24" spans="1:1" x14ac:dyDescent="0.25">
      <c r="A24" t="s">
        <v>14</v>
      </c>
    </row>
    <row r="25" spans="1:1" x14ac:dyDescent="0.25">
      <c r="A25" t="s">
        <v>15</v>
      </c>
    </row>
    <row r="26" spans="1:1" x14ac:dyDescent="0.25">
      <c r="A26" t="s">
        <v>16</v>
      </c>
    </row>
    <row r="27" spans="1:1" x14ac:dyDescent="0.25">
      <c r="A27" t="s">
        <v>17</v>
      </c>
    </row>
    <row r="28" spans="1:1" x14ac:dyDescent="0.25">
      <c r="A28" t="s">
        <v>18</v>
      </c>
    </row>
    <row r="29" spans="1:1" x14ac:dyDescent="0.25">
      <c r="A29" t="s">
        <v>19</v>
      </c>
    </row>
    <row r="30" spans="1:1" x14ac:dyDescent="0.25">
      <c r="A30" t="s">
        <v>20</v>
      </c>
    </row>
    <row r="31" spans="1:1" x14ac:dyDescent="0.25">
      <c r="A31" t="s">
        <v>21</v>
      </c>
    </row>
    <row r="32" spans="1:1" x14ac:dyDescent="0.25">
      <c r="A32" t="s">
        <v>22</v>
      </c>
    </row>
    <row r="33" spans="1:2" x14ac:dyDescent="0.25">
      <c r="A33" t="s">
        <v>23</v>
      </c>
    </row>
    <row r="34" spans="1:2" x14ac:dyDescent="0.25">
      <c r="A34" t="s">
        <v>24</v>
      </c>
    </row>
    <row r="35" spans="1:2" x14ac:dyDescent="0.25">
      <c r="A35" t="s">
        <v>25</v>
      </c>
    </row>
    <row r="36" spans="1:2" x14ac:dyDescent="0.25">
      <c r="A36" t="s">
        <v>8</v>
      </c>
    </row>
    <row r="38" spans="1:2" x14ac:dyDescent="0.25">
      <c r="A38" s="2" t="s">
        <v>28</v>
      </c>
    </row>
    <row r="40" spans="1:2" x14ac:dyDescent="0.25">
      <c r="A40" s="2" t="s">
        <v>29</v>
      </c>
    </row>
    <row r="41" spans="1:2" x14ac:dyDescent="0.25">
      <c r="A41" s="2"/>
    </row>
    <row r="42" spans="1:2" x14ac:dyDescent="0.25">
      <c r="A42" t="s">
        <v>30</v>
      </c>
      <c r="B42">
        <v>6</v>
      </c>
    </row>
    <row r="43" spans="1:2" x14ac:dyDescent="0.25">
      <c r="A43" t="s">
        <v>31</v>
      </c>
      <c r="B43">
        <v>5</v>
      </c>
    </row>
    <row r="44" spans="1:2" x14ac:dyDescent="0.25">
      <c r="A44" t="s">
        <v>32</v>
      </c>
      <c r="B44">
        <v>4</v>
      </c>
    </row>
    <row r="45" spans="1:2" x14ac:dyDescent="0.25">
      <c r="A45" t="s">
        <v>33</v>
      </c>
      <c r="B45">
        <v>3</v>
      </c>
    </row>
    <row r="46" spans="1:2" x14ac:dyDescent="0.25">
      <c r="A46" t="s">
        <v>34</v>
      </c>
      <c r="B46">
        <v>2</v>
      </c>
    </row>
    <row r="47" spans="1:2" x14ac:dyDescent="0.25">
      <c r="A47" t="s">
        <v>35</v>
      </c>
      <c r="B47">
        <v>1</v>
      </c>
    </row>
    <row r="49" spans="1:2" x14ac:dyDescent="0.25">
      <c r="A49" t="s">
        <v>36</v>
      </c>
    </row>
    <row r="51" spans="1:2" x14ac:dyDescent="0.25">
      <c r="A51" s="2" t="s">
        <v>78</v>
      </c>
    </row>
    <row r="52" spans="1:2" x14ac:dyDescent="0.25">
      <c r="A52" s="2"/>
    </row>
    <row r="53" spans="1:2" x14ac:dyDescent="0.25">
      <c r="A53" t="s">
        <v>38</v>
      </c>
    </row>
    <row r="54" spans="1:2" x14ac:dyDescent="0.25">
      <c r="A54" t="s">
        <v>39</v>
      </c>
    </row>
    <row r="55" spans="1:2" x14ac:dyDescent="0.25">
      <c r="A55" t="s">
        <v>40</v>
      </c>
    </row>
    <row r="56" spans="1:2" x14ac:dyDescent="0.25">
      <c r="A56" t="s">
        <v>41</v>
      </c>
    </row>
    <row r="58" spans="1:2" x14ac:dyDescent="0.25">
      <c r="A58" s="2" t="s">
        <v>37</v>
      </c>
    </row>
    <row r="59" spans="1:2" x14ac:dyDescent="0.25">
      <c r="A59" s="1" t="s">
        <v>42</v>
      </c>
    </row>
    <row r="60" spans="1:2" x14ac:dyDescent="0.25">
      <c r="A60" s="1"/>
    </row>
    <row r="61" spans="1:2" x14ac:dyDescent="0.25">
      <c r="A61" t="s">
        <v>63</v>
      </c>
      <c r="B61">
        <v>4</v>
      </c>
    </row>
    <row r="62" spans="1:2" x14ac:dyDescent="0.25">
      <c r="A62" t="s">
        <v>64</v>
      </c>
      <c r="B62">
        <v>3</v>
      </c>
    </row>
    <row r="63" spans="1:2" x14ac:dyDescent="0.25">
      <c r="A63" t="s">
        <v>65</v>
      </c>
      <c r="B63">
        <v>2</v>
      </c>
    </row>
    <row r="64" spans="1:2" x14ac:dyDescent="0.25">
      <c r="A64" t="s">
        <v>66</v>
      </c>
      <c r="B64">
        <v>1</v>
      </c>
    </row>
    <row r="65" spans="1:2" x14ac:dyDescent="0.25">
      <c r="A65" s="1" t="s">
        <v>67</v>
      </c>
    </row>
    <row r="66" spans="1:2" x14ac:dyDescent="0.25">
      <c r="A66" s="1"/>
    </row>
    <row r="67" spans="1:2" x14ac:dyDescent="0.25">
      <c r="A67" t="s">
        <v>68</v>
      </c>
      <c r="B67">
        <v>5</v>
      </c>
    </row>
    <row r="68" spans="1:2" x14ac:dyDescent="0.25">
      <c r="A68" t="s">
        <v>69</v>
      </c>
      <c r="B68">
        <v>4</v>
      </c>
    </row>
    <row r="69" spans="1:2" x14ac:dyDescent="0.25">
      <c r="A69" t="s">
        <v>77</v>
      </c>
      <c r="B69">
        <v>3</v>
      </c>
    </row>
    <row r="70" spans="1:2" x14ac:dyDescent="0.25">
      <c r="A70" t="s">
        <v>70</v>
      </c>
      <c r="B70">
        <v>2</v>
      </c>
    </row>
    <row r="71" spans="1:2" x14ac:dyDescent="0.25">
      <c r="A71" t="s">
        <v>66</v>
      </c>
      <c r="B71">
        <v>1</v>
      </c>
    </row>
    <row r="72" spans="1:2" x14ac:dyDescent="0.25">
      <c r="A72" s="1" t="s">
        <v>71</v>
      </c>
    </row>
    <row r="73" spans="1:2" x14ac:dyDescent="0.25">
      <c r="A73" s="1"/>
    </row>
    <row r="74" spans="1:2" x14ac:dyDescent="0.25">
      <c r="A74" t="s">
        <v>72</v>
      </c>
      <c r="B74">
        <v>6</v>
      </c>
    </row>
    <row r="75" spans="1:2" x14ac:dyDescent="0.25">
      <c r="A75" t="s">
        <v>73</v>
      </c>
      <c r="B75">
        <v>5</v>
      </c>
    </row>
    <row r="76" spans="1:2" x14ac:dyDescent="0.25">
      <c r="A76" t="s">
        <v>74</v>
      </c>
      <c r="B76">
        <v>4</v>
      </c>
    </row>
    <row r="77" spans="1:2" x14ac:dyDescent="0.25">
      <c r="A77" t="s">
        <v>75</v>
      </c>
      <c r="B77">
        <v>3</v>
      </c>
    </row>
    <row r="78" spans="1:2" x14ac:dyDescent="0.25">
      <c r="A78" t="s">
        <v>76</v>
      </c>
      <c r="B78">
        <v>2</v>
      </c>
    </row>
    <row r="79" spans="1:2" x14ac:dyDescent="0.25">
      <c r="A79" t="s">
        <v>66</v>
      </c>
      <c r="B79">
        <v>1</v>
      </c>
    </row>
    <row r="81" spans="1:5" x14ac:dyDescent="0.25">
      <c r="A81">
        <v>13</v>
      </c>
      <c r="B81" t="s">
        <v>79</v>
      </c>
    </row>
    <row r="82" spans="1:5" x14ac:dyDescent="0.25">
      <c r="A82">
        <v>9</v>
      </c>
      <c r="B82" t="s">
        <v>80</v>
      </c>
    </row>
    <row r="83" spans="1:5" x14ac:dyDescent="0.25">
      <c r="A83">
        <v>3</v>
      </c>
      <c r="B83" t="s">
        <v>81</v>
      </c>
    </row>
    <row r="85" spans="1:5" x14ac:dyDescent="0.25">
      <c r="A85" t="s">
        <v>43</v>
      </c>
    </row>
    <row r="86" spans="1:5" x14ac:dyDescent="0.25">
      <c r="A86" t="s">
        <v>44</v>
      </c>
    </row>
    <row r="87" spans="1:5" x14ac:dyDescent="0.25">
      <c r="A87" t="s">
        <v>45</v>
      </c>
      <c r="B87" t="s">
        <v>48</v>
      </c>
      <c r="C87" t="s">
        <v>52</v>
      </c>
      <c r="D87" t="s">
        <v>53</v>
      </c>
      <c r="E87" t="s">
        <v>54</v>
      </c>
    </row>
    <row r="88" spans="1:5" x14ac:dyDescent="0.25">
      <c r="A88" t="s">
        <v>46</v>
      </c>
    </row>
    <row r="89" spans="1:5" x14ac:dyDescent="0.25">
      <c r="A89" t="s">
        <v>47</v>
      </c>
    </row>
    <row r="90" spans="1:5" x14ac:dyDescent="0.25">
      <c r="A90" t="s">
        <v>49</v>
      </c>
    </row>
    <row r="91" spans="1:5" x14ac:dyDescent="0.25">
      <c r="A91" t="s">
        <v>50</v>
      </c>
    </row>
    <row r="92" spans="1:5" x14ac:dyDescent="0.25">
      <c r="A92" t="s">
        <v>51</v>
      </c>
    </row>
    <row r="93" spans="1:5" x14ac:dyDescent="0.25">
      <c r="A93" t="s">
        <v>55</v>
      </c>
    </row>
    <row r="94" spans="1:5" x14ac:dyDescent="0.25">
      <c r="A94" t="s">
        <v>56</v>
      </c>
    </row>
    <row r="95" spans="1:5" x14ac:dyDescent="0.25">
      <c r="A95" t="s">
        <v>57</v>
      </c>
    </row>
    <row r="96" spans="1:5" x14ac:dyDescent="0.25">
      <c r="A96" t="s">
        <v>58</v>
      </c>
    </row>
    <row r="97" spans="1:2" x14ac:dyDescent="0.25">
      <c r="A97" t="s">
        <v>59</v>
      </c>
    </row>
    <row r="98" spans="1:2" x14ac:dyDescent="0.25">
      <c r="A98" t="s">
        <v>60</v>
      </c>
    </row>
    <row r="99" spans="1:2" x14ac:dyDescent="0.25">
      <c r="A99" t="s">
        <v>61</v>
      </c>
    </row>
    <row r="100" spans="1:2" x14ac:dyDescent="0.25">
      <c r="A100" t="s">
        <v>62</v>
      </c>
    </row>
    <row r="102" spans="1:2" x14ac:dyDescent="0.25">
      <c r="A102" s="2" t="s">
        <v>82</v>
      </c>
    </row>
    <row r="103" spans="1:2" x14ac:dyDescent="0.25">
      <c r="A103" s="1" t="s">
        <v>83</v>
      </c>
    </row>
    <row r="104" spans="1:2" x14ac:dyDescent="0.25">
      <c r="A104" s="1"/>
    </row>
    <row r="105" spans="1:2" x14ac:dyDescent="0.25">
      <c r="A105" t="s">
        <v>84</v>
      </c>
      <c r="B105">
        <v>4</v>
      </c>
    </row>
    <row r="106" spans="1:2" x14ac:dyDescent="0.25">
      <c r="A106" t="s">
        <v>85</v>
      </c>
      <c r="B106">
        <v>3</v>
      </c>
    </row>
    <row r="107" spans="1:2" x14ac:dyDescent="0.25">
      <c r="A107" t="s">
        <v>86</v>
      </c>
      <c r="B107">
        <v>2</v>
      </c>
    </row>
    <row r="108" spans="1:2" x14ac:dyDescent="0.25">
      <c r="A108" t="s">
        <v>87</v>
      </c>
      <c r="B108">
        <v>1</v>
      </c>
    </row>
    <row r="109" spans="1:2" x14ac:dyDescent="0.25">
      <c r="A109" s="1" t="s">
        <v>88</v>
      </c>
    </row>
    <row r="110" spans="1:2" x14ac:dyDescent="0.25">
      <c r="A110" s="1"/>
    </row>
    <row r="111" spans="1:2" x14ac:dyDescent="0.25">
      <c r="A111" t="s">
        <v>89</v>
      </c>
      <c r="B111">
        <v>4</v>
      </c>
    </row>
    <row r="112" spans="1:2" x14ac:dyDescent="0.25">
      <c r="A112" t="s">
        <v>90</v>
      </c>
      <c r="B112">
        <v>3</v>
      </c>
    </row>
    <row r="113" spans="1:2" x14ac:dyDescent="0.25">
      <c r="A113" t="s">
        <v>86</v>
      </c>
      <c r="B113">
        <v>2</v>
      </c>
    </row>
    <row r="114" spans="1:2" x14ac:dyDescent="0.25">
      <c r="A114" t="s">
        <v>87</v>
      </c>
      <c r="B114">
        <v>1</v>
      </c>
    </row>
    <row r="115" spans="1:2" x14ac:dyDescent="0.25">
      <c r="A115" s="1" t="s">
        <v>91</v>
      </c>
    </row>
    <row r="116" spans="1:2" x14ac:dyDescent="0.25">
      <c r="A116" s="1"/>
    </row>
    <row r="117" spans="1:2" x14ac:dyDescent="0.25">
      <c r="A117" t="s">
        <v>92</v>
      </c>
      <c r="B117">
        <v>3</v>
      </c>
    </row>
    <row r="118" spans="1:2" x14ac:dyDescent="0.25">
      <c r="A118" t="s">
        <v>93</v>
      </c>
      <c r="B118">
        <v>2</v>
      </c>
    </row>
    <row r="119" spans="1:2" x14ac:dyDescent="0.25">
      <c r="A119" t="s">
        <v>66</v>
      </c>
      <c r="B119">
        <v>1</v>
      </c>
    </row>
    <row r="121" spans="1:2" x14ac:dyDescent="0.25">
      <c r="A121" t="s">
        <v>94</v>
      </c>
    </row>
    <row r="122" spans="1:2" x14ac:dyDescent="0.25">
      <c r="A122" t="s">
        <v>95</v>
      </c>
      <c r="B122">
        <v>1</v>
      </c>
    </row>
    <row r="123" spans="1:2" x14ac:dyDescent="0.25">
      <c r="A123" t="s">
        <v>96</v>
      </c>
      <c r="B123">
        <v>1</v>
      </c>
    </row>
    <row r="124" spans="1:2" x14ac:dyDescent="0.25">
      <c r="A124" t="s">
        <v>97</v>
      </c>
      <c r="B124">
        <v>1</v>
      </c>
    </row>
    <row r="125" spans="1:2" x14ac:dyDescent="0.25">
      <c r="A125" t="s">
        <v>98</v>
      </c>
      <c r="B125">
        <v>1</v>
      </c>
    </row>
    <row r="127" spans="1:2" x14ac:dyDescent="0.25">
      <c r="A127" s="2" t="s">
        <v>99</v>
      </c>
    </row>
    <row r="128" spans="1:2" x14ac:dyDescent="0.25">
      <c r="A128" s="2" t="s">
        <v>103</v>
      </c>
    </row>
    <row r="129" spans="1:1" x14ac:dyDescent="0.25">
      <c r="A129" s="2"/>
    </row>
    <row r="130" spans="1:1" x14ac:dyDescent="0.25">
      <c r="A130" s="3" t="s">
        <v>108</v>
      </c>
    </row>
    <row r="131" spans="1:1" x14ac:dyDescent="0.25">
      <c r="A131" s="3" t="s">
        <v>63</v>
      </c>
    </row>
    <row r="132" spans="1:1" x14ac:dyDescent="0.25">
      <c r="A132" s="3" t="s">
        <v>104</v>
      </c>
    </row>
    <row r="133" spans="1:1" x14ac:dyDescent="0.25">
      <c r="A133" s="3" t="s">
        <v>105</v>
      </c>
    </row>
    <row r="134" spans="1:1" x14ac:dyDescent="0.25">
      <c r="A134" s="3" t="s">
        <v>106</v>
      </c>
    </row>
    <row r="135" spans="1:1" x14ac:dyDescent="0.25">
      <c r="A135" s="3" t="s">
        <v>68</v>
      </c>
    </row>
    <row r="136" spans="1:1" x14ac:dyDescent="0.25">
      <c r="A136" s="3" t="s">
        <v>107</v>
      </c>
    </row>
    <row r="137" spans="1:1" x14ac:dyDescent="0.25">
      <c r="A137" s="2" t="s">
        <v>100</v>
      </c>
    </row>
    <row r="138" spans="1:1" x14ac:dyDescent="0.25">
      <c r="A138" s="2"/>
    </row>
    <row r="139" spans="1:1" x14ac:dyDescent="0.25">
      <c r="A139" t="s">
        <v>101</v>
      </c>
    </row>
    <row r="140" spans="1:1" x14ac:dyDescent="0.25">
      <c r="A140" t="s">
        <v>102</v>
      </c>
    </row>
    <row r="141" spans="1:1" x14ac:dyDescent="0.25">
      <c r="A141" s="2" t="s">
        <v>109</v>
      </c>
    </row>
    <row r="144" spans="1:1" x14ac:dyDescent="0.25">
      <c r="A144" s="2" t="s">
        <v>111</v>
      </c>
    </row>
    <row r="145" spans="1:1" x14ac:dyDescent="0.25">
      <c r="A145" s="2"/>
    </row>
    <row r="146" spans="1:1" x14ac:dyDescent="0.25">
      <c r="A146" t="s">
        <v>112</v>
      </c>
    </row>
    <row r="147" spans="1:1" x14ac:dyDescent="0.25">
      <c r="A147" t="s">
        <v>113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52DC1-D12F-4287-8700-47DFF5B02DDE}">
  <sheetPr codeName="Sheet5"/>
  <dimension ref="A1:FP5"/>
  <sheetViews>
    <sheetView workbookViewId="0">
      <selection activeCell="E2" sqref="E2:FP2"/>
    </sheetView>
  </sheetViews>
  <sheetFormatPr defaultColWidth="9.140625" defaultRowHeight="15" x14ac:dyDescent="0.25"/>
  <cols>
    <col min="1" max="1" width="14.85546875" style="5" bestFit="1" customWidth="1"/>
    <col min="2" max="2" width="15.7109375" style="10" customWidth="1"/>
    <col min="3" max="3" width="14.85546875" style="11" customWidth="1"/>
    <col min="4" max="4" width="19.7109375" style="11" customWidth="1"/>
    <col min="5" max="8" width="9.140625" style="5"/>
    <col min="9" max="9" width="16.85546875" style="5" customWidth="1"/>
    <col min="10" max="16384" width="9.140625" style="5"/>
  </cols>
  <sheetData>
    <row r="1" spans="1:172" x14ac:dyDescent="0.25">
      <c r="A1" t="s">
        <v>235</v>
      </c>
      <c r="B1" t="s">
        <v>236</v>
      </c>
      <c r="C1" t="s">
        <v>237</v>
      </c>
      <c r="D1" t="s">
        <v>238</v>
      </c>
      <c r="E1" t="s">
        <v>117</v>
      </c>
      <c r="F1" t="s">
        <v>118</v>
      </c>
      <c r="G1" t="s">
        <v>119</v>
      </c>
      <c r="H1" t="s">
        <v>213</v>
      </c>
      <c r="I1" t="s">
        <v>120</v>
      </c>
      <c r="J1" t="s">
        <v>214</v>
      </c>
      <c r="K1" t="s">
        <v>121</v>
      </c>
      <c r="L1" t="s">
        <v>122</v>
      </c>
      <c r="M1" t="s">
        <v>123</v>
      </c>
      <c r="N1" t="s">
        <v>124</v>
      </c>
      <c r="O1" t="s">
        <v>125</v>
      </c>
      <c r="P1" t="s">
        <v>126</v>
      </c>
      <c r="Q1" t="s">
        <v>127</v>
      </c>
      <c r="R1" t="s">
        <v>128</v>
      </c>
      <c r="S1" t="s">
        <v>129</v>
      </c>
      <c r="T1" t="s">
        <v>130</v>
      </c>
      <c r="U1" t="s">
        <v>131</v>
      </c>
      <c r="V1" t="s">
        <v>132</v>
      </c>
      <c r="W1" t="s">
        <v>133</v>
      </c>
      <c r="X1" t="s">
        <v>134</v>
      </c>
      <c r="Y1" t="s">
        <v>135</v>
      </c>
      <c r="Z1" t="s">
        <v>136</v>
      </c>
      <c r="AA1" t="s">
        <v>137</v>
      </c>
      <c r="AB1" t="s">
        <v>138</v>
      </c>
      <c r="AC1" t="s">
        <v>139</v>
      </c>
      <c r="AD1" t="s">
        <v>140</v>
      </c>
      <c r="AE1" t="s">
        <v>141</v>
      </c>
      <c r="AF1" t="s">
        <v>142</v>
      </c>
      <c r="AG1" t="s">
        <v>143</v>
      </c>
      <c r="AH1" t="s">
        <v>144</v>
      </c>
      <c r="AI1" t="s">
        <v>145</v>
      </c>
      <c r="AJ1" t="s">
        <v>146</v>
      </c>
      <c r="AK1" t="s">
        <v>147</v>
      </c>
      <c r="AL1" t="s">
        <v>224</v>
      </c>
      <c r="AM1" t="s">
        <v>215</v>
      </c>
      <c r="AN1" t="s">
        <v>148</v>
      </c>
      <c r="AO1" t="s">
        <v>149</v>
      </c>
      <c r="AP1" t="s">
        <v>150</v>
      </c>
      <c r="AQ1" t="s">
        <v>216</v>
      </c>
      <c r="AR1" t="s">
        <v>151</v>
      </c>
      <c r="AS1" t="s">
        <v>217</v>
      </c>
      <c r="AT1" t="s">
        <v>152</v>
      </c>
      <c r="AU1" t="s">
        <v>218</v>
      </c>
      <c r="AV1" t="s">
        <v>153</v>
      </c>
      <c r="AW1" t="s">
        <v>219</v>
      </c>
      <c r="AX1" t="s">
        <v>154</v>
      </c>
      <c r="AY1" t="s">
        <v>155</v>
      </c>
      <c r="AZ1" t="s">
        <v>156</v>
      </c>
      <c r="BA1" t="s">
        <v>221</v>
      </c>
      <c r="BB1" t="s">
        <v>157</v>
      </c>
      <c r="BC1" t="s">
        <v>222</v>
      </c>
      <c r="BD1" t="s">
        <v>158</v>
      </c>
      <c r="BE1" t="s">
        <v>223</v>
      </c>
      <c r="BF1" t="s">
        <v>159</v>
      </c>
      <c r="BG1" t="s">
        <v>160</v>
      </c>
      <c r="BH1" t="s">
        <v>161</v>
      </c>
      <c r="BI1" t="s">
        <v>162</v>
      </c>
      <c r="BJ1" t="s">
        <v>163</v>
      </c>
      <c r="BK1" t="s">
        <v>164</v>
      </c>
      <c r="BL1" t="s">
        <v>165</v>
      </c>
      <c r="BM1" t="s">
        <v>166</v>
      </c>
      <c r="BN1" t="s">
        <v>167</v>
      </c>
      <c r="BO1" t="s">
        <v>168</v>
      </c>
      <c r="BP1" t="s">
        <v>169</v>
      </c>
      <c r="BQ1" t="s">
        <v>239</v>
      </c>
      <c r="BR1" t="s">
        <v>240</v>
      </c>
      <c r="BS1" t="s">
        <v>241</v>
      </c>
      <c r="BT1" t="s">
        <v>242</v>
      </c>
      <c r="BU1" t="s">
        <v>243</v>
      </c>
      <c r="BV1" t="s">
        <v>244</v>
      </c>
      <c r="BW1" t="s">
        <v>245</v>
      </c>
      <c r="BX1" t="s">
        <v>246</v>
      </c>
      <c r="BY1" t="s">
        <v>247</v>
      </c>
      <c r="BZ1" t="s">
        <v>248</v>
      </c>
      <c r="CA1" t="s">
        <v>249</v>
      </c>
      <c r="CB1" t="s">
        <v>250</v>
      </c>
      <c r="CC1" t="s">
        <v>251</v>
      </c>
      <c r="CD1" t="s">
        <v>252</v>
      </c>
      <c r="CE1" t="s">
        <v>253</v>
      </c>
      <c r="CF1" t="s">
        <v>254</v>
      </c>
      <c r="CG1" t="s">
        <v>255</v>
      </c>
      <c r="CH1" t="s">
        <v>256</v>
      </c>
      <c r="CI1" t="s">
        <v>257</v>
      </c>
      <c r="CJ1" t="s">
        <v>258</v>
      </c>
      <c r="CK1" t="s">
        <v>259</v>
      </c>
      <c r="CL1" t="s">
        <v>260</v>
      </c>
      <c r="CM1" t="s">
        <v>261</v>
      </c>
      <c r="CN1" t="s">
        <v>262</v>
      </c>
      <c r="CO1" t="s">
        <v>263</v>
      </c>
      <c r="CP1" t="s">
        <v>264</v>
      </c>
      <c r="CQ1" t="s">
        <v>265</v>
      </c>
      <c r="CR1" t="s">
        <v>266</v>
      </c>
      <c r="CS1" t="s">
        <v>267</v>
      </c>
      <c r="CT1" t="s">
        <v>268</v>
      </c>
      <c r="CU1" t="s">
        <v>269</v>
      </c>
      <c r="CV1" t="s">
        <v>270</v>
      </c>
      <c r="CW1" t="s">
        <v>271</v>
      </c>
      <c r="CX1" t="s">
        <v>272</v>
      </c>
      <c r="CY1" t="s">
        <v>273</v>
      </c>
      <c r="CZ1" t="s">
        <v>274</v>
      </c>
      <c r="DA1" t="s">
        <v>275</v>
      </c>
      <c r="DB1" t="s">
        <v>276</v>
      </c>
      <c r="DC1" t="s">
        <v>277</v>
      </c>
      <c r="DD1" t="s">
        <v>278</v>
      </c>
      <c r="DE1" t="s">
        <v>279</v>
      </c>
      <c r="DF1" t="s">
        <v>280</v>
      </c>
      <c r="DG1" t="s">
        <v>281</v>
      </c>
      <c r="DH1" t="s">
        <v>282</v>
      </c>
      <c r="DI1" t="s">
        <v>283</v>
      </c>
      <c r="DJ1" t="s">
        <v>284</v>
      </c>
      <c r="DK1" t="s">
        <v>285</v>
      </c>
      <c r="DL1" t="s">
        <v>286</v>
      </c>
      <c r="DM1" t="s">
        <v>287</v>
      </c>
      <c r="DN1" t="s">
        <v>288</v>
      </c>
      <c r="DO1" t="s">
        <v>289</v>
      </c>
      <c r="DP1" t="s">
        <v>170</v>
      </c>
      <c r="DQ1" t="s">
        <v>171</v>
      </c>
      <c r="DR1" t="s">
        <v>172</v>
      </c>
      <c r="DS1" t="s">
        <v>173</v>
      </c>
      <c r="DT1" t="s">
        <v>174</v>
      </c>
      <c r="DU1" t="s">
        <v>175</v>
      </c>
      <c r="DV1" t="s">
        <v>176</v>
      </c>
      <c r="DW1" t="s">
        <v>177</v>
      </c>
      <c r="DX1" t="s">
        <v>178</v>
      </c>
      <c r="DY1" t="s">
        <v>179</v>
      </c>
      <c r="DZ1" t="s">
        <v>180</v>
      </c>
      <c r="EA1" t="s">
        <v>181</v>
      </c>
      <c r="EB1" t="s">
        <v>182</v>
      </c>
      <c r="EC1" t="s">
        <v>183</v>
      </c>
      <c r="ED1" t="s">
        <v>184</v>
      </c>
      <c r="EE1" t="s">
        <v>185</v>
      </c>
      <c r="EF1" t="s">
        <v>186</v>
      </c>
      <c r="EG1" t="s">
        <v>187</v>
      </c>
      <c r="EH1" t="s">
        <v>188</v>
      </c>
      <c r="EI1" t="s">
        <v>189</v>
      </c>
      <c r="EJ1" t="s">
        <v>190</v>
      </c>
      <c r="EK1" t="s">
        <v>191</v>
      </c>
      <c r="EL1" t="s">
        <v>192</v>
      </c>
      <c r="EM1" t="s">
        <v>193</v>
      </c>
      <c r="EN1" t="s">
        <v>194</v>
      </c>
      <c r="EO1" t="s">
        <v>195</v>
      </c>
      <c r="EP1" t="s">
        <v>225</v>
      </c>
      <c r="EQ1" t="s">
        <v>196</v>
      </c>
      <c r="ER1" t="s">
        <v>226</v>
      </c>
      <c r="ES1" t="s">
        <v>197</v>
      </c>
      <c r="ET1" t="s">
        <v>227</v>
      </c>
      <c r="EU1" t="s">
        <v>198</v>
      </c>
      <c r="EV1" t="s">
        <v>228</v>
      </c>
      <c r="EW1" t="s">
        <v>199</v>
      </c>
      <c r="EX1" t="s">
        <v>229</v>
      </c>
      <c r="EY1" t="s">
        <v>200</v>
      </c>
      <c r="EZ1" t="s">
        <v>230</v>
      </c>
      <c r="FA1" t="s">
        <v>201</v>
      </c>
      <c r="FB1" t="s">
        <v>202</v>
      </c>
      <c r="FC1" t="s">
        <v>203</v>
      </c>
      <c r="FD1" t="s">
        <v>231</v>
      </c>
      <c r="FE1" t="s">
        <v>204</v>
      </c>
      <c r="FF1" t="s">
        <v>232</v>
      </c>
      <c r="FG1" t="s">
        <v>205</v>
      </c>
      <c r="FH1" t="s">
        <v>233</v>
      </c>
      <c r="FI1" t="s">
        <v>206</v>
      </c>
      <c r="FJ1" t="s">
        <v>207</v>
      </c>
      <c r="FK1" t="s">
        <v>208</v>
      </c>
      <c r="FL1" t="s">
        <v>209</v>
      </c>
      <c r="FM1" t="s">
        <v>210</v>
      </c>
      <c r="FN1" t="s">
        <v>211</v>
      </c>
      <c r="FO1" t="s">
        <v>234</v>
      </c>
      <c r="FP1" t="s">
        <v>212</v>
      </c>
    </row>
    <row r="2" spans="1:172" x14ac:dyDescent="0.25">
      <c r="A2" s="5">
        <v>1</v>
      </c>
      <c r="B2" s="10">
        <v>45032</v>
      </c>
      <c r="C2" s="11">
        <v>0.61597222222222225</v>
      </c>
      <c r="D2" t="str">
        <f>CONCATENATE(A2,"   ",TEXT(B2,"mm/dd/yyyy"),"   ",TEXT(C2,"hh:mm"))</f>
        <v>1   04/16/2023   14:47</v>
      </c>
      <c r="E2" s="5">
        <v>1</v>
      </c>
      <c r="F2" s="5" t="s">
        <v>0</v>
      </c>
      <c r="G2" s="5">
        <v>60</v>
      </c>
      <c r="H2" s="5">
        <v>1</v>
      </c>
      <c r="I2" s="5">
        <v>0</v>
      </c>
      <c r="J2" s="5">
        <v>1</v>
      </c>
      <c r="K2" s="5">
        <v>0</v>
      </c>
      <c r="L2" s="5" t="b">
        <v>0</v>
      </c>
      <c r="M2" s="5" t="b">
        <v>0</v>
      </c>
      <c r="N2" s="5" t="b">
        <v>0</v>
      </c>
      <c r="O2" s="5" t="b">
        <v>0</v>
      </c>
      <c r="P2" s="5" t="b">
        <v>0</v>
      </c>
      <c r="Q2" s="5" t="b">
        <v>0</v>
      </c>
      <c r="R2" s="5" t="b">
        <v>0</v>
      </c>
      <c r="S2" s="5" t="b">
        <v>0</v>
      </c>
      <c r="T2" s="5" t="b">
        <v>0</v>
      </c>
      <c r="U2" s="5" t="b">
        <v>0</v>
      </c>
      <c r="V2" s="5" t="b">
        <v>0</v>
      </c>
      <c r="W2" s="5" t="b">
        <v>1</v>
      </c>
      <c r="X2" s="5" t="b">
        <v>1</v>
      </c>
      <c r="Y2" s="5" t="b">
        <v>0</v>
      </c>
      <c r="Z2" s="5" t="b">
        <v>1</v>
      </c>
      <c r="AA2" s="5" t="b">
        <v>0</v>
      </c>
      <c r="AB2" s="5" t="b">
        <v>1</v>
      </c>
      <c r="AC2" s="5" t="b">
        <v>0</v>
      </c>
      <c r="AD2" s="5" t="b">
        <v>0</v>
      </c>
      <c r="AE2" s="5" t="b">
        <v>0</v>
      </c>
      <c r="AF2" s="5" t="b">
        <v>1</v>
      </c>
      <c r="AG2" s="5" t="b">
        <v>1</v>
      </c>
      <c r="AH2" s="5" t="b">
        <v>0</v>
      </c>
      <c r="AI2" s="5" t="b">
        <v>1</v>
      </c>
      <c r="AJ2" s="5" t="b">
        <v>0</v>
      </c>
      <c r="AK2" s="5" t="b">
        <v>0</v>
      </c>
      <c r="AL2" s="5" t="b">
        <v>1</v>
      </c>
      <c r="AM2" s="5">
        <v>2</v>
      </c>
      <c r="AN2" s="5" t="s">
        <v>30</v>
      </c>
      <c r="AO2" s="5" t="s">
        <v>290</v>
      </c>
      <c r="AP2" s="5" t="s">
        <v>291</v>
      </c>
      <c r="AQ2" s="5">
        <v>1</v>
      </c>
      <c r="AR2" s="5">
        <v>0</v>
      </c>
      <c r="AS2" s="5">
        <v>2</v>
      </c>
      <c r="AT2" s="5" t="s">
        <v>63</v>
      </c>
      <c r="AU2" s="5">
        <v>4</v>
      </c>
      <c r="AV2" s="5" t="s">
        <v>77</v>
      </c>
      <c r="AW2" s="5">
        <v>4</v>
      </c>
      <c r="AX2" s="5" t="s">
        <v>74</v>
      </c>
      <c r="AY2" s="5">
        <v>11</v>
      </c>
      <c r="AZ2" s="5" t="s">
        <v>80</v>
      </c>
      <c r="BA2" s="5">
        <v>1</v>
      </c>
      <c r="BB2" s="5">
        <v>0</v>
      </c>
      <c r="BC2" s="5">
        <v>1</v>
      </c>
      <c r="BD2" s="5">
        <v>0</v>
      </c>
      <c r="BE2" s="5">
        <v>1</v>
      </c>
      <c r="BF2" s="5">
        <v>0</v>
      </c>
      <c r="BG2" s="5" t="b">
        <v>0</v>
      </c>
      <c r="BH2" s="5" t="b">
        <v>0</v>
      </c>
      <c r="BI2" s="5" t="b">
        <v>0</v>
      </c>
      <c r="BJ2" s="5" t="b">
        <v>0</v>
      </c>
      <c r="BK2" s="5">
        <v>0</v>
      </c>
      <c r="BL2" s="5">
        <v>0</v>
      </c>
      <c r="BM2" s="5">
        <v>0</v>
      </c>
      <c r="BN2" s="5">
        <v>0</v>
      </c>
      <c r="BO2" s="5" t="s">
        <v>292</v>
      </c>
      <c r="BP2" s="5" t="s">
        <v>293</v>
      </c>
      <c r="BQ2" s="5" t="b">
        <v>0</v>
      </c>
      <c r="BR2" s="5" t="b">
        <v>0</v>
      </c>
      <c r="BS2" s="5" t="b">
        <v>0</v>
      </c>
      <c r="BT2" s="5" t="b">
        <v>0</v>
      </c>
      <c r="BU2" s="5" t="b">
        <v>0</v>
      </c>
      <c r="BV2" s="5" t="b">
        <v>0</v>
      </c>
      <c r="BW2" s="5" t="b">
        <v>0</v>
      </c>
      <c r="BX2" s="5" t="b">
        <v>0</v>
      </c>
      <c r="BY2" s="5" t="b">
        <v>0</v>
      </c>
      <c r="BZ2" s="5" t="b">
        <v>0</v>
      </c>
      <c r="CA2" s="5" t="b">
        <v>0</v>
      </c>
      <c r="CB2" s="5" t="b">
        <v>0</v>
      </c>
      <c r="CC2" s="5" t="b">
        <v>0</v>
      </c>
      <c r="CD2" s="5" t="b">
        <v>0</v>
      </c>
      <c r="CE2" s="5" t="b">
        <v>0</v>
      </c>
      <c r="CF2" s="5" t="b">
        <v>0</v>
      </c>
      <c r="CG2" s="5" t="b">
        <v>0</v>
      </c>
      <c r="CH2" s="5" t="b">
        <v>0</v>
      </c>
      <c r="CI2" s="5" t="b">
        <v>0</v>
      </c>
      <c r="CJ2" s="5" t="b">
        <v>0</v>
      </c>
      <c r="CK2" s="5" t="b">
        <v>0</v>
      </c>
      <c r="CL2" s="5" t="b">
        <v>0</v>
      </c>
      <c r="CM2" s="5" t="b">
        <v>0</v>
      </c>
      <c r="CN2" s="5" t="b">
        <v>0</v>
      </c>
      <c r="CO2" s="5" t="b">
        <v>0</v>
      </c>
      <c r="CP2" s="5" t="b">
        <v>0</v>
      </c>
      <c r="CQ2" s="5" t="b">
        <v>0</v>
      </c>
      <c r="CR2" s="5" t="s">
        <v>294</v>
      </c>
      <c r="CS2" s="5">
        <v>2</v>
      </c>
      <c r="CT2" s="5" t="s">
        <v>30</v>
      </c>
      <c r="CU2" s="5">
        <v>1</v>
      </c>
      <c r="CV2" s="5" t="s">
        <v>89</v>
      </c>
      <c r="CW2" s="5">
        <v>2</v>
      </c>
      <c r="CX2" s="5" t="s">
        <v>63</v>
      </c>
      <c r="CY2" s="5">
        <v>2</v>
      </c>
      <c r="CZ2" s="5" t="s">
        <v>68</v>
      </c>
      <c r="DA2" s="5">
        <v>2</v>
      </c>
      <c r="DB2" s="5" t="s">
        <v>72</v>
      </c>
      <c r="DC2" s="5">
        <v>15</v>
      </c>
      <c r="DD2" s="5">
        <v>0</v>
      </c>
      <c r="DE2" s="5">
        <v>5</v>
      </c>
      <c r="DF2" s="5" t="s">
        <v>87</v>
      </c>
      <c r="DG2" s="5">
        <v>5</v>
      </c>
      <c r="DH2" s="5" t="s">
        <v>87</v>
      </c>
      <c r="DI2" s="5">
        <v>1</v>
      </c>
      <c r="DJ2" s="5">
        <v>0</v>
      </c>
      <c r="DK2" s="5" t="b">
        <v>1</v>
      </c>
      <c r="DL2" s="5" t="b">
        <v>1</v>
      </c>
      <c r="DM2" s="5" t="b">
        <v>1</v>
      </c>
      <c r="DN2" s="5" t="b">
        <v>1</v>
      </c>
      <c r="DO2" s="5">
        <v>4</v>
      </c>
      <c r="DP2" s="5" t="b">
        <v>1</v>
      </c>
      <c r="DQ2" s="5" t="b">
        <v>1</v>
      </c>
      <c r="DR2" s="5" t="b">
        <v>0</v>
      </c>
      <c r="DS2" s="5" t="b">
        <v>0</v>
      </c>
      <c r="DT2" s="5" t="b">
        <v>0</v>
      </c>
      <c r="DU2" s="5" t="b">
        <v>0</v>
      </c>
      <c r="DV2" s="5" t="b">
        <v>0</v>
      </c>
      <c r="DW2" s="5" t="b">
        <v>0</v>
      </c>
      <c r="DX2" s="5" t="b">
        <v>0</v>
      </c>
      <c r="DY2" s="5" t="b">
        <v>0</v>
      </c>
      <c r="DZ2" s="5" t="b">
        <v>0</v>
      </c>
      <c r="EA2" s="5" t="b">
        <v>0</v>
      </c>
      <c r="EB2" s="5" t="b">
        <v>0</v>
      </c>
      <c r="EC2" s="5" t="b">
        <v>1</v>
      </c>
      <c r="ED2" s="5" t="b">
        <v>0</v>
      </c>
      <c r="EE2" s="5" t="b">
        <v>0</v>
      </c>
      <c r="EF2" s="5" t="b">
        <v>0</v>
      </c>
      <c r="EG2" s="5" t="b">
        <v>0</v>
      </c>
      <c r="EH2" s="5" t="b">
        <v>0</v>
      </c>
      <c r="EI2" s="5" t="b">
        <v>0</v>
      </c>
      <c r="EJ2" s="5" t="b">
        <v>0</v>
      </c>
      <c r="EK2" s="5" t="b">
        <v>0</v>
      </c>
      <c r="EL2" s="5" t="b">
        <v>0</v>
      </c>
      <c r="EM2" s="5" t="b">
        <v>0</v>
      </c>
      <c r="EN2" s="5" t="b">
        <v>0</v>
      </c>
      <c r="EO2" s="5" t="b">
        <v>0</v>
      </c>
      <c r="EP2" s="5" t="b">
        <v>1</v>
      </c>
      <c r="EQ2" s="5" t="s">
        <v>295</v>
      </c>
      <c r="ER2" s="5">
        <v>1</v>
      </c>
      <c r="ES2" s="5">
        <v>0</v>
      </c>
      <c r="ET2" s="5">
        <v>1</v>
      </c>
      <c r="EU2" s="5">
        <v>0</v>
      </c>
      <c r="EV2" s="5">
        <v>1</v>
      </c>
      <c r="EW2" s="5">
        <v>0</v>
      </c>
      <c r="EX2" s="5">
        <v>1</v>
      </c>
      <c r="EY2" s="5">
        <v>0</v>
      </c>
      <c r="EZ2" s="5">
        <v>1</v>
      </c>
      <c r="FA2" s="5">
        <v>0</v>
      </c>
      <c r="FB2" s="5">
        <v>0</v>
      </c>
      <c r="FC2" s="5" t="s">
        <v>296</v>
      </c>
      <c r="FD2" s="5">
        <v>1</v>
      </c>
      <c r="FE2" s="5">
        <v>0</v>
      </c>
      <c r="FF2" s="5">
        <v>1</v>
      </c>
      <c r="FG2" s="5">
        <v>0</v>
      </c>
      <c r="FH2" s="5">
        <v>1</v>
      </c>
      <c r="FI2" s="5">
        <v>0</v>
      </c>
      <c r="FJ2" s="5" t="b">
        <v>0</v>
      </c>
      <c r="FK2" s="5" t="b">
        <v>0</v>
      </c>
      <c r="FL2" s="5" t="b">
        <v>0</v>
      </c>
      <c r="FM2" s="5" t="b">
        <v>0</v>
      </c>
      <c r="FN2" s="5">
        <v>0</v>
      </c>
      <c r="FO2" s="5">
        <v>1</v>
      </c>
      <c r="FP2" s="5">
        <v>0</v>
      </c>
    </row>
    <row r="3" spans="1:172" x14ac:dyDescent="0.25">
      <c r="A3" s="5">
        <v>2</v>
      </c>
      <c r="B3" s="10">
        <v>45032</v>
      </c>
      <c r="C3" s="11">
        <v>0.61944444444444446</v>
      </c>
      <c r="D3" t="str">
        <f>CONCATENATE(A3,"   ",TEXT(B3,"mm/dd/yyyy"),"   ",TEXT(C3,"hh:mm"))</f>
        <v>2   04/16/2023   14:52</v>
      </c>
      <c r="E3" s="5">
        <v>0</v>
      </c>
      <c r="F3" s="5">
        <v>0</v>
      </c>
      <c r="G3" s="5">
        <v>0</v>
      </c>
      <c r="H3" s="5">
        <v>1</v>
      </c>
      <c r="I3" s="5">
        <v>0</v>
      </c>
      <c r="J3" s="5">
        <v>1</v>
      </c>
      <c r="K3" s="5">
        <v>0</v>
      </c>
      <c r="L3" s="5" t="b">
        <v>0</v>
      </c>
      <c r="M3" s="5" t="b">
        <v>0</v>
      </c>
      <c r="N3" s="5" t="b">
        <v>0</v>
      </c>
      <c r="O3" s="5" t="b">
        <v>0</v>
      </c>
      <c r="P3" s="5" t="b">
        <v>0</v>
      </c>
      <c r="Q3" s="5" t="b">
        <v>0</v>
      </c>
      <c r="R3" s="5" t="b">
        <v>0</v>
      </c>
      <c r="S3" s="5" t="b">
        <v>0</v>
      </c>
      <c r="T3" s="5" t="b">
        <v>0</v>
      </c>
      <c r="U3" s="5" t="b">
        <v>0</v>
      </c>
      <c r="V3" s="5" t="b">
        <v>0</v>
      </c>
      <c r="W3" s="5" t="b">
        <v>0</v>
      </c>
      <c r="X3" s="5" t="b">
        <v>0</v>
      </c>
      <c r="Y3" s="5" t="b">
        <v>0</v>
      </c>
      <c r="Z3" s="5" t="b">
        <v>0</v>
      </c>
      <c r="AA3" s="5" t="b">
        <v>0</v>
      </c>
      <c r="AB3" s="5" t="b">
        <v>0</v>
      </c>
      <c r="AC3" s="5" t="b">
        <v>0</v>
      </c>
      <c r="AD3" s="5" t="b">
        <v>0</v>
      </c>
      <c r="AE3" s="5" t="b">
        <v>0</v>
      </c>
      <c r="AF3" s="5" t="b">
        <v>0</v>
      </c>
      <c r="AG3" s="5" t="b">
        <v>0</v>
      </c>
      <c r="AH3" s="5" t="b">
        <v>0</v>
      </c>
      <c r="AI3" s="5" t="b">
        <v>0</v>
      </c>
      <c r="AJ3" s="5" t="b">
        <v>0</v>
      </c>
      <c r="AK3" s="5" t="b">
        <v>0</v>
      </c>
      <c r="AL3" s="5" t="b">
        <v>0</v>
      </c>
      <c r="AM3" s="5">
        <v>1</v>
      </c>
      <c r="AN3" s="5">
        <v>0</v>
      </c>
      <c r="AO3" s="5">
        <v>0</v>
      </c>
      <c r="AP3" s="5">
        <v>0</v>
      </c>
      <c r="AQ3" s="5">
        <v>1</v>
      </c>
      <c r="AR3" s="5">
        <v>0</v>
      </c>
      <c r="AS3" s="5">
        <v>1</v>
      </c>
      <c r="AT3" s="5">
        <v>0</v>
      </c>
      <c r="AU3" s="5">
        <v>1</v>
      </c>
      <c r="AV3" s="5">
        <v>0</v>
      </c>
      <c r="AW3" s="5">
        <v>1</v>
      </c>
      <c r="AX3" s="5">
        <v>0</v>
      </c>
      <c r="AY3" s="5">
        <v>0</v>
      </c>
      <c r="AZ3" s="5" t="s">
        <v>296</v>
      </c>
      <c r="BA3" s="5">
        <v>1</v>
      </c>
      <c r="BB3" s="5">
        <v>0</v>
      </c>
      <c r="BC3" s="5">
        <v>1</v>
      </c>
      <c r="BD3" s="5">
        <v>0</v>
      </c>
      <c r="BE3" s="5">
        <v>1</v>
      </c>
      <c r="BF3" s="5">
        <v>0</v>
      </c>
      <c r="BG3" s="5" t="b">
        <v>0</v>
      </c>
      <c r="BH3" s="5" t="b">
        <v>0</v>
      </c>
      <c r="BI3" s="5" t="b">
        <v>0</v>
      </c>
      <c r="BJ3" s="5" t="b">
        <v>0</v>
      </c>
      <c r="BK3" s="5">
        <v>0</v>
      </c>
      <c r="BL3" s="5">
        <v>0</v>
      </c>
      <c r="BM3" s="5">
        <v>0</v>
      </c>
      <c r="BN3" s="5">
        <v>0</v>
      </c>
      <c r="BO3" s="5">
        <v>0</v>
      </c>
      <c r="BP3" s="5">
        <v>0</v>
      </c>
      <c r="BQ3" s="5" t="b">
        <v>0</v>
      </c>
      <c r="BR3" s="5" t="b">
        <v>0</v>
      </c>
      <c r="BS3" s="5" t="b">
        <v>0</v>
      </c>
      <c r="BT3" s="5" t="b">
        <v>0</v>
      </c>
      <c r="BU3" s="5" t="b">
        <v>0</v>
      </c>
      <c r="BV3" s="5" t="b">
        <v>0</v>
      </c>
      <c r="BW3" s="5" t="b">
        <v>0</v>
      </c>
      <c r="BX3" s="5" t="b">
        <v>0</v>
      </c>
      <c r="BY3" s="5" t="b">
        <v>0</v>
      </c>
      <c r="BZ3" s="5" t="b">
        <v>0</v>
      </c>
      <c r="CA3" s="5" t="b">
        <v>0</v>
      </c>
      <c r="CB3" s="5" t="b">
        <v>0</v>
      </c>
      <c r="CC3" s="5" t="b">
        <v>0</v>
      </c>
      <c r="CD3" s="5" t="b">
        <v>0</v>
      </c>
      <c r="CE3" s="5" t="b">
        <v>0</v>
      </c>
      <c r="CF3" s="5" t="b">
        <v>0</v>
      </c>
      <c r="CG3" s="5" t="b">
        <v>0</v>
      </c>
      <c r="CH3" s="5" t="b">
        <v>0</v>
      </c>
      <c r="CI3" s="5" t="b">
        <v>0</v>
      </c>
      <c r="CJ3" s="5" t="b">
        <v>0</v>
      </c>
      <c r="CK3" s="5" t="b">
        <v>0</v>
      </c>
      <c r="CL3" s="5" t="b">
        <v>0</v>
      </c>
      <c r="CM3" s="5" t="b">
        <v>0</v>
      </c>
      <c r="CN3" s="5" t="b">
        <v>0</v>
      </c>
      <c r="CO3" s="5" t="b">
        <v>0</v>
      </c>
      <c r="CP3" s="5" t="b">
        <v>0</v>
      </c>
      <c r="CQ3" s="5" t="b">
        <v>0</v>
      </c>
      <c r="CR3" s="5">
        <v>0</v>
      </c>
      <c r="CS3" s="5">
        <v>1</v>
      </c>
      <c r="CT3" s="5">
        <v>0</v>
      </c>
      <c r="CU3" s="5">
        <v>1</v>
      </c>
      <c r="CV3" s="5">
        <v>0</v>
      </c>
      <c r="CW3" s="5">
        <v>1</v>
      </c>
      <c r="CX3" s="5">
        <v>0</v>
      </c>
      <c r="CY3" s="5">
        <v>1</v>
      </c>
      <c r="CZ3" s="5">
        <v>0</v>
      </c>
      <c r="DA3" s="5">
        <v>1</v>
      </c>
      <c r="DB3" s="5">
        <v>0</v>
      </c>
      <c r="DC3" s="5">
        <v>0</v>
      </c>
      <c r="DD3" s="5">
        <v>0</v>
      </c>
      <c r="DE3" s="5">
        <v>1</v>
      </c>
      <c r="DF3" s="5">
        <v>0</v>
      </c>
      <c r="DG3" s="5">
        <v>1</v>
      </c>
      <c r="DH3" s="5">
        <v>0</v>
      </c>
      <c r="DI3" s="5">
        <v>1</v>
      </c>
      <c r="DJ3" s="5">
        <v>0</v>
      </c>
      <c r="DK3" s="5" t="b">
        <v>0</v>
      </c>
      <c r="DL3" s="5" t="b">
        <v>0</v>
      </c>
      <c r="DM3" s="5" t="b">
        <v>0</v>
      </c>
      <c r="DN3" s="5" t="b">
        <v>0</v>
      </c>
      <c r="DO3" s="5">
        <v>0</v>
      </c>
      <c r="DP3" s="5" t="b">
        <v>0</v>
      </c>
      <c r="DQ3" s="5" t="b">
        <v>0</v>
      </c>
      <c r="DR3" s="5" t="b">
        <v>0</v>
      </c>
      <c r="DS3" s="5" t="b">
        <v>0</v>
      </c>
      <c r="DT3" s="5" t="b">
        <v>0</v>
      </c>
      <c r="DU3" s="5" t="b">
        <v>0</v>
      </c>
      <c r="DV3" s="5" t="b">
        <v>0</v>
      </c>
      <c r="DW3" s="5" t="b">
        <v>0</v>
      </c>
      <c r="DX3" s="5" t="b">
        <v>0</v>
      </c>
      <c r="DY3" s="5" t="b">
        <v>0</v>
      </c>
      <c r="DZ3" s="5" t="b">
        <v>0</v>
      </c>
      <c r="EA3" s="5" t="b">
        <v>0</v>
      </c>
      <c r="EB3" s="5" t="b">
        <v>0</v>
      </c>
      <c r="EC3" s="5" t="b">
        <v>0</v>
      </c>
      <c r="ED3" s="5" t="b">
        <v>0</v>
      </c>
      <c r="EE3" s="5" t="b">
        <v>0</v>
      </c>
      <c r="EF3" s="5" t="b">
        <v>0</v>
      </c>
      <c r="EG3" s="5" t="b">
        <v>0</v>
      </c>
      <c r="EH3" s="5" t="b">
        <v>0</v>
      </c>
      <c r="EI3" s="5" t="b">
        <v>0</v>
      </c>
      <c r="EJ3" s="5" t="b">
        <v>0</v>
      </c>
      <c r="EK3" s="5" t="b">
        <v>0</v>
      </c>
      <c r="EL3" s="5" t="b">
        <v>0</v>
      </c>
      <c r="EM3" s="5" t="b">
        <v>0</v>
      </c>
      <c r="EN3" s="5" t="b">
        <v>0</v>
      </c>
      <c r="EO3" s="5" t="b">
        <v>0</v>
      </c>
      <c r="EP3" s="5" t="b">
        <v>0</v>
      </c>
      <c r="EQ3" s="5">
        <v>0</v>
      </c>
      <c r="ER3" s="5">
        <v>1</v>
      </c>
      <c r="ES3" s="5">
        <v>0</v>
      </c>
      <c r="ET3" s="5">
        <v>1</v>
      </c>
      <c r="EU3" s="5">
        <v>0</v>
      </c>
      <c r="EV3" s="5">
        <v>1</v>
      </c>
      <c r="EW3" s="5">
        <v>0</v>
      </c>
      <c r="EX3" s="5">
        <v>1</v>
      </c>
      <c r="EY3" s="5">
        <v>0</v>
      </c>
      <c r="EZ3" s="5">
        <v>1</v>
      </c>
      <c r="FA3" s="5">
        <v>0</v>
      </c>
      <c r="FB3" s="5">
        <v>0</v>
      </c>
      <c r="FC3" s="5" t="s">
        <v>296</v>
      </c>
      <c r="FD3" s="5">
        <v>1</v>
      </c>
      <c r="FE3" s="5">
        <v>0</v>
      </c>
      <c r="FF3" s="5">
        <v>1</v>
      </c>
      <c r="FG3" s="5">
        <v>0</v>
      </c>
      <c r="FH3" s="5">
        <v>1</v>
      </c>
      <c r="FI3" s="5">
        <v>0</v>
      </c>
      <c r="FJ3" s="5" t="b">
        <v>0</v>
      </c>
      <c r="FK3" s="5" t="b">
        <v>0</v>
      </c>
      <c r="FL3" s="5" t="b">
        <v>0</v>
      </c>
      <c r="FM3" s="5" t="b">
        <v>0</v>
      </c>
      <c r="FN3" s="5">
        <v>0</v>
      </c>
      <c r="FO3" s="5">
        <v>1</v>
      </c>
      <c r="FP3" s="5">
        <v>0</v>
      </c>
    </row>
    <row r="5" spans="1:172" x14ac:dyDescent="0.25"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</row>
  </sheetData>
  <protectedRanges>
    <protectedRange algorithmName="SHA-512" hashValue="S66WU2iqSW60hQPWl/yX/dXYrrLGZHs8swCcrveV7IhGAabPZOAjRVsPAWZqzRQ5gTgoKgUBkzTtXqBmuT/pmg==" saltValue="RUjcUZk1KQRhNf2pSaa0pg==" spinCount="100000" sqref="AV5 I5 F5:G5 K5:AL5 AN5:AP5 AR5 AT5 AX5:AZ5 BB5 BD5 BF5:BK5 BM5:BN5 BP5:BQ5 BS5 BU5 BW5 BY5:DK5 DM5 DO5 DQ5 DS5 DU5:DW5 DY5 EA5 EC5:EH5 EJ5" name="Nurse_6" securityDescriptor="O:WDG:WDD:(A;;CC;;;WD)"/>
  </protectedRange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C4EDF-A4D8-4E43-B380-7508F95C2038}">
  <sheetPr codeName="Sheet1"/>
  <dimension ref="A1:C1"/>
  <sheetViews>
    <sheetView workbookViewId="0">
      <selection activeCell="E9" sqref="E9"/>
    </sheetView>
  </sheetViews>
  <sheetFormatPr defaultRowHeight="15" x14ac:dyDescent="0.25"/>
  <cols>
    <col min="3" max="3" width="11.140625" bestFit="1" customWidth="1"/>
  </cols>
  <sheetData>
    <row r="1" spans="1:3" x14ac:dyDescent="0.25">
      <c r="A1" t="s">
        <v>114</v>
      </c>
      <c r="B1" t="s">
        <v>115</v>
      </c>
      <c r="C1" t="s">
        <v>116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2c941e4-9dbc-466a-a966-9578e5d96645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F886DDBE484C145B0277352157F9736" ma:contentTypeVersion="7" ma:contentTypeDescription="Create a new document." ma:contentTypeScope="" ma:versionID="381850326bf029dfdfc97eefc5304ce6">
  <xsd:schema xmlns:xsd="http://www.w3.org/2001/XMLSchema" xmlns:xs="http://www.w3.org/2001/XMLSchema" xmlns:p="http://schemas.microsoft.com/office/2006/metadata/properties" xmlns:ns3="a2c941e4-9dbc-466a-a966-9578e5d96645" xmlns:ns4="6a19fb84-dde3-4c1d-8554-99b64999dab5" targetNamespace="http://schemas.microsoft.com/office/2006/metadata/properties" ma:root="true" ma:fieldsID="7f2c4462ebf4f84d3aa601ec8ca2e686" ns3:_="" ns4:_="">
    <xsd:import namespace="a2c941e4-9dbc-466a-a966-9578e5d96645"/>
    <xsd:import namespace="6a19fb84-dde3-4c1d-8554-99b64999dab5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c941e4-9dbc-466a-a966-9578e5d96645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a19fb84-dde3-4c1d-8554-99b64999dab5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D0D3298-7048-4CA6-970C-E7C976BF0DD8}">
  <ds:schemaRefs>
    <ds:schemaRef ds:uri="http://schemas.microsoft.com/office/2006/documentManagement/types"/>
    <ds:schemaRef ds:uri="http://www.w3.org/XML/1998/namespace"/>
    <ds:schemaRef ds:uri="http://schemas.microsoft.com/office/2006/metadata/properties"/>
    <ds:schemaRef ds:uri="http://purl.org/dc/terms/"/>
    <ds:schemaRef ds:uri="http://purl.org/dc/dcmitype/"/>
    <ds:schemaRef ds:uri="http://schemas.microsoft.com/office/infopath/2007/PartnerControls"/>
    <ds:schemaRef ds:uri="6a19fb84-dde3-4c1d-8554-99b64999dab5"/>
    <ds:schemaRef ds:uri="http://schemas.openxmlformats.org/package/2006/metadata/core-properties"/>
    <ds:schemaRef ds:uri="http://purl.org/dc/elements/1.1/"/>
    <ds:schemaRef ds:uri="a2c941e4-9dbc-466a-a966-9578e5d96645"/>
  </ds:schemaRefs>
</ds:datastoreItem>
</file>

<file path=customXml/itemProps2.xml><?xml version="1.0" encoding="utf-8"?>
<ds:datastoreItem xmlns:ds="http://schemas.openxmlformats.org/officeDocument/2006/customXml" ds:itemID="{DA014076-8B46-47B7-AFF6-BBA922291E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2c941e4-9dbc-466a-a966-9578e5d96645"/>
    <ds:schemaRef ds:uri="6a19fb84-dde3-4c1d-8554-99b64999dab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12296F7-67A5-4243-B3C4-F165E3C8CE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Report</vt:lpstr>
      <vt:lpstr>Options</vt:lpstr>
      <vt:lpstr>Data</vt:lpstr>
      <vt:lpstr>Changelog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Re</dc:creator>
  <cp:lastModifiedBy>Placella, Heidi</cp:lastModifiedBy>
  <dcterms:created xsi:type="dcterms:W3CDTF">2023-04-03T13:45:59Z</dcterms:created>
  <dcterms:modified xsi:type="dcterms:W3CDTF">2023-04-18T15:27:34Z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0x010100FF886DDBE484C145B0277352157F9736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CreateHeaders_1" visible="true" label="CreateHeaders" imageMso="ListMacros" onAction="CreateHeaders"/>
        <mso:button idQ="doc:CreateRecord_1" visible="true" label="CreateRecord" imageMso="ListMacros" onAction="CreateRecord"/>
        <mso:button idQ="doc:GetRecord_1" visible="true" label="GetRecord" imageMso="ListMacros" onAction="GetRecord"/>
        <mso:button idQ="doc:HideShow_1" visible="true" label="HideShow" imageMso="ListMacros" onAction="HideShow"/>
        <mso:button idQ="doc:ResetForm_1" visible="true" label="ResetForm" imageMso="ListMacros" onAction="ResetForm"/>
      </mso:documentControls>
    </mso:qat>
  </mso:ribbon>
</mso:customUI>
</file>